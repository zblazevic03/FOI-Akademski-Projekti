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G:\Other computers\My Laptop\Faks\Planiranje poduzetničkog pothvata\Projekt\"/>
    </mc:Choice>
  </mc:AlternateContent>
  <xr:revisionPtr revIDLastSave="0" documentId="13_ncr:1_{839B175C-60CD-45A5-8FF2-81824169A9A6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Investicija" sheetId="1" r:id="rId1"/>
    <sheet name="In + Am" sheetId="2" r:id="rId2"/>
    <sheet name="Prihodi" sheetId="3" r:id="rId3"/>
    <sheet name="Rashodi" sheetId="4" r:id="rId4"/>
    <sheet name="Plaće" sheetId="5" r:id="rId5"/>
    <sheet name="Kredit" sheetId="6" r:id="rId6"/>
    <sheet name="RDG" sheetId="7" r:id="rId7"/>
    <sheet name="TOBS" sheetId="8" r:id="rId8"/>
    <sheet name="EK + FK" sheetId="9" r:id="rId9"/>
    <sheet name="EK + FK - osjetljivost" sheetId="10" r:id="rId10"/>
    <sheet name="Analiza projekt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hYwAT7rQsrM70rqJ6zRbU3YeQwSVqaJvOv0MunQAjhg="/>
    </ext>
  </extLst>
</workbook>
</file>

<file path=xl/calcChain.xml><?xml version="1.0" encoding="utf-8"?>
<calcChain xmlns="http://schemas.openxmlformats.org/spreadsheetml/2006/main">
  <c r="C56" i="11" l="1"/>
  <c r="C51" i="11"/>
  <c r="G46" i="11"/>
  <c r="C46" i="11"/>
  <c r="C41" i="11"/>
  <c r="C36" i="11"/>
  <c r="F28" i="11"/>
  <c r="G27" i="11"/>
  <c r="E27" i="11"/>
  <c r="C27" i="11"/>
  <c r="G22" i="11"/>
  <c r="E22" i="11"/>
  <c r="C22" i="11"/>
  <c r="G19" i="11"/>
  <c r="E19" i="11"/>
  <c r="C19" i="11"/>
  <c r="G16" i="11"/>
  <c r="E16" i="11"/>
  <c r="C16" i="11"/>
  <c r="G11" i="11"/>
  <c r="E11" i="11"/>
  <c r="C11" i="11"/>
  <c r="G6" i="11"/>
  <c r="E6" i="11"/>
  <c r="C6" i="11"/>
  <c r="C38" i="10"/>
  <c r="C7" i="10"/>
  <c r="C6" i="10"/>
  <c r="C45" i="9"/>
  <c r="C28" i="9"/>
  <c r="C6" i="9"/>
  <c r="D27" i="8"/>
  <c r="C27" i="8"/>
  <c r="C26" i="8"/>
  <c r="D26" i="8" s="1"/>
  <c r="C25" i="8"/>
  <c r="D25" i="8" s="1"/>
  <c r="C24" i="8"/>
  <c r="D24" i="8" s="1"/>
  <c r="D22" i="8"/>
  <c r="C22" i="8"/>
  <c r="D21" i="8"/>
  <c r="C21" i="8"/>
  <c r="C20" i="8"/>
  <c r="D20" i="8" s="1"/>
  <c r="D13" i="8"/>
  <c r="D12" i="8"/>
  <c r="D11" i="8"/>
  <c r="D10" i="8"/>
  <c r="D8" i="8"/>
  <c r="D7" i="8"/>
  <c r="D6" i="8"/>
  <c r="C6" i="6"/>
  <c r="E12" i="5"/>
  <c r="E14" i="5" s="1"/>
  <c r="D12" i="5"/>
  <c r="D14" i="5" s="1"/>
  <c r="E7" i="5"/>
  <c r="D7" i="5"/>
  <c r="E6" i="5"/>
  <c r="E8" i="5" s="1"/>
  <c r="D6" i="5"/>
  <c r="D8" i="5" s="1"/>
  <c r="G129" i="4"/>
  <c r="F128" i="4"/>
  <c r="G128" i="4" s="1"/>
  <c r="F127" i="4"/>
  <c r="G127" i="4" s="1"/>
  <c r="F126" i="4"/>
  <c r="G126" i="4" s="1"/>
  <c r="G120" i="4"/>
  <c r="F120" i="4"/>
  <c r="F119" i="4"/>
  <c r="G119" i="4" s="1"/>
  <c r="F118" i="4"/>
  <c r="G118" i="4" s="1"/>
  <c r="L117" i="4"/>
  <c r="M117" i="4" s="1"/>
  <c r="N117" i="4" s="1"/>
  <c r="D117" i="4"/>
  <c r="G109" i="4"/>
  <c r="F108" i="4"/>
  <c r="G108" i="4" s="1"/>
  <c r="F107" i="4"/>
  <c r="G107" i="4" s="1"/>
  <c r="F106" i="4"/>
  <c r="G106" i="4" s="1"/>
  <c r="F101" i="4"/>
  <c r="G101" i="4" s="1"/>
  <c r="F100" i="4"/>
  <c r="G100" i="4" s="1"/>
  <c r="G6" i="4" s="1"/>
  <c r="G10" i="7" s="1"/>
  <c r="G99" i="4"/>
  <c r="F99" i="4"/>
  <c r="L98" i="4"/>
  <c r="M98" i="4" s="1"/>
  <c r="N98" i="4" s="1"/>
  <c r="D98" i="4"/>
  <c r="G90" i="4"/>
  <c r="J10" i="4" s="1"/>
  <c r="F89" i="4"/>
  <c r="G89" i="4" s="1"/>
  <c r="F9" i="4" s="1"/>
  <c r="F9" i="7" s="1"/>
  <c r="G88" i="4"/>
  <c r="F88" i="4"/>
  <c r="G87" i="4"/>
  <c r="F87" i="4"/>
  <c r="G82" i="4"/>
  <c r="F82" i="4"/>
  <c r="G81" i="4"/>
  <c r="F81" i="4"/>
  <c r="F80" i="4"/>
  <c r="G80" i="4" s="1"/>
  <c r="F6" i="4" s="1"/>
  <c r="L79" i="4"/>
  <c r="M79" i="4" s="1"/>
  <c r="N79" i="4" s="1"/>
  <c r="D79" i="4"/>
  <c r="G71" i="4"/>
  <c r="E10" i="4" s="1"/>
  <c r="G70" i="4"/>
  <c r="F70" i="4"/>
  <c r="F69" i="4"/>
  <c r="G69" i="4" s="1"/>
  <c r="E9" i="4" s="1"/>
  <c r="E9" i="7" s="1"/>
  <c r="G68" i="4"/>
  <c r="F68" i="4"/>
  <c r="F63" i="4"/>
  <c r="G63" i="4" s="1"/>
  <c r="G62" i="4"/>
  <c r="F62" i="4"/>
  <c r="F61" i="4"/>
  <c r="G61" i="4" s="1"/>
  <c r="M60" i="4"/>
  <c r="N60" i="4" s="1"/>
  <c r="L60" i="4"/>
  <c r="D60" i="4"/>
  <c r="G52" i="4"/>
  <c r="D10" i="4" s="1"/>
  <c r="G51" i="4"/>
  <c r="F51" i="4"/>
  <c r="F50" i="4"/>
  <c r="G50" i="4" s="1"/>
  <c r="F49" i="4"/>
  <c r="G49" i="4" s="1"/>
  <c r="D9" i="4" s="1"/>
  <c r="D9" i="7" s="1"/>
  <c r="F44" i="4"/>
  <c r="G44" i="4" s="1"/>
  <c r="F43" i="4"/>
  <c r="G43" i="4" s="1"/>
  <c r="F42" i="4"/>
  <c r="G42" i="4" s="1"/>
  <c r="D6" i="4" s="1"/>
  <c r="D10" i="7" s="1"/>
  <c r="L41" i="4"/>
  <c r="M41" i="4" s="1"/>
  <c r="N41" i="4" s="1"/>
  <c r="D41" i="4"/>
  <c r="G32" i="4"/>
  <c r="F31" i="4"/>
  <c r="G31" i="4" s="1"/>
  <c r="F30" i="4"/>
  <c r="G30" i="4" s="1"/>
  <c r="F29" i="4"/>
  <c r="G29" i="4" s="1"/>
  <c r="C9" i="4" s="1"/>
  <c r="C9" i="7" s="1"/>
  <c r="F24" i="4"/>
  <c r="G24" i="4" s="1"/>
  <c r="F23" i="4"/>
  <c r="G23" i="4" s="1"/>
  <c r="C6" i="4" s="1"/>
  <c r="C10" i="7" s="1"/>
  <c r="G22" i="4"/>
  <c r="F22" i="4"/>
  <c r="L21" i="4"/>
  <c r="M21" i="4" s="1"/>
  <c r="N21" i="4" s="1"/>
  <c r="D21" i="4"/>
  <c r="L10" i="4"/>
  <c r="K10" i="4"/>
  <c r="G10" i="4"/>
  <c r="C10" i="4"/>
  <c r="M44" i="3"/>
  <c r="N44" i="3" s="1"/>
  <c r="E44" i="3" s="1"/>
  <c r="F44" i="3" s="1"/>
  <c r="G44" i="3" s="1"/>
  <c r="L44" i="3"/>
  <c r="L38" i="3"/>
  <c r="M38" i="3" s="1"/>
  <c r="N38" i="3" s="1"/>
  <c r="E38" i="3" s="1"/>
  <c r="F38" i="3" s="1"/>
  <c r="G38" i="3" s="1"/>
  <c r="G5" i="3" s="1"/>
  <c r="G6" i="7" s="1"/>
  <c r="G5" i="7" s="1"/>
  <c r="L32" i="3"/>
  <c r="M32" i="3" s="1"/>
  <c r="N32" i="3" s="1"/>
  <c r="E32" i="3" s="1"/>
  <c r="F32" i="3" s="1"/>
  <c r="G32" i="3" s="1"/>
  <c r="F5" i="3" s="1"/>
  <c r="F6" i="7" s="1"/>
  <c r="F5" i="7" s="1"/>
  <c r="L26" i="3"/>
  <c r="M26" i="3" s="1"/>
  <c r="N26" i="3" s="1"/>
  <c r="E26" i="3" s="1"/>
  <c r="F26" i="3" s="1"/>
  <c r="G26" i="3" s="1"/>
  <c r="E5" i="3" s="1"/>
  <c r="E6" i="7" s="1"/>
  <c r="E5" i="7" s="1"/>
  <c r="L20" i="3"/>
  <c r="M20" i="3" s="1"/>
  <c r="N20" i="3" s="1"/>
  <c r="E20" i="3" s="1"/>
  <c r="F20" i="3" s="1"/>
  <c r="G20" i="3" s="1"/>
  <c r="D5" i="3" s="1"/>
  <c r="D6" i="7" s="1"/>
  <c r="D5" i="7" s="1"/>
  <c r="N14" i="3"/>
  <c r="E14" i="3" s="1"/>
  <c r="F14" i="3" s="1"/>
  <c r="G14" i="3" s="1"/>
  <c r="C5" i="3" s="1"/>
  <c r="C6" i="7" s="1"/>
  <c r="C5" i="7" s="1"/>
  <c r="M14" i="3"/>
  <c r="L14" i="3"/>
  <c r="D41" i="2"/>
  <c r="D39" i="2"/>
  <c r="E38" i="2"/>
  <c r="E37" i="2"/>
  <c r="E36" i="2"/>
  <c r="E35" i="2"/>
  <c r="E34" i="2"/>
  <c r="L33" i="2"/>
  <c r="K33" i="2"/>
  <c r="E33" i="2"/>
  <c r="F12" i="2"/>
  <c r="C39" i="9" s="1"/>
  <c r="E11" i="2"/>
  <c r="F72" i="1"/>
  <c r="F71" i="1"/>
  <c r="F70" i="1"/>
  <c r="F69" i="1"/>
  <c r="F68" i="1"/>
  <c r="F73" i="1" s="1"/>
  <c r="D10" i="2" s="1"/>
  <c r="F60" i="1"/>
  <c r="F59" i="1"/>
  <c r="F58" i="1"/>
  <c r="F57" i="1"/>
  <c r="F61" i="1" s="1"/>
  <c r="D9" i="2" s="1"/>
  <c r="F50" i="1"/>
  <c r="F49" i="1"/>
  <c r="F48" i="1"/>
  <c r="F47" i="1"/>
  <c r="M46" i="1"/>
  <c r="F46" i="1"/>
  <c r="M45" i="1"/>
  <c r="F45" i="1"/>
  <c r="M44" i="1"/>
  <c r="F44" i="1"/>
  <c r="M43" i="1"/>
  <c r="F43" i="1"/>
  <c r="M42" i="1"/>
  <c r="F42" i="1"/>
  <c r="M41" i="1"/>
  <c r="F41" i="1"/>
  <c r="F51" i="1" s="1"/>
  <c r="D8" i="2" s="1"/>
  <c r="M40" i="1"/>
  <c r="M39" i="1"/>
  <c r="M38" i="1"/>
  <c r="M47" i="1" s="1"/>
  <c r="F34" i="1" s="1"/>
  <c r="C34" i="1"/>
  <c r="F32" i="1"/>
  <c r="M31" i="1"/>
  <c r="F31" i="1"/>
  <c r="M30" i="1"/>
  <c r="F30" i="1"/>
  <c r="M29" i="1"/>
  <c r="M32" i="1" s="1"/>
  <c r="F33" i="1" s="1"/>
  <c r="F29" i="1"/>
  <c r="F22" i="1"/>
  <c r="F21" i="1"/>
  <c r="F20" i="1"/>
  <c r="F19" i="1"/>
  <c r="F18" i="1"/>
  <c r="F17" i="1"/>
  <c r="F16" i="1"/>
  <c r="F23" i="1" s="1"/>
  <c r="E121" i="4" l="1"/>
  <c r="F121" i="4" s="1"/>
  <c r="G121" i="4" s="1"/>
  <c r="E125" i="4"/>
  <c r="F125" i="4" s="1"/>
  <c r="G125" i="4" s="1"/>
  <c r="E124" i="4"/>
  <c r="F124" i="4" s="1"/>
  <c r="G124" i="4" s="1"/>
  <c r="Q117" i="4"/>
  <c r="E123" i="4"/>
  <c r="F123" i="4" s="1"/>
  <c r="G123" i="4" s="1"/>
  <c r="E122" i="4"/>
  <c r="F122" i="4" s="1"/>
  <c r="G122" i="4" s="1"/>
  <c r="D6" i="2"/>
  <c r="C78" i="1"/>
  <c r="E45" i="4"/>
  <c r="F45" i="4" s="1"/>
  <c r="G45" i="4" s="1"/>
  <c r="E48" i="4"/>
  <c r="F48" i="4" s="1"/>
  <c r="G48" i="4" s="1"/>
  <c r="Q41" i="4"/>
  <c r="E47" i="4"/>
  <c r="F47" i="4" s="1"/>
  <c r="G47" i="4" s="1"/>
  <c r="D7" i="4" s="1"/>
  <c r="E46" i="4"/>
  <c r="F46" i="4" s="1"/>
  <c r="G46" i="4" s="1"/>
  <c r="D10" i="5"/>
  <c r="D11" i="5" s="1"/>
  <c r="D13" i="5"/>
  <c r="E10" i="5"/>
  <c r="E11" i="5" s="1"/>
  <c r="E13" i="5"/>
  <c r="L6" i="4"/>
  <c r="L10" i="7" s="1"/>
  <c r="K6" i="4"/>
  <c r="K10" i="7" s="1"/>
  <c r="J6" i="4"/>
  <c r="J10" i="7" s="1"/>
  <c r="I6" i="4"/>
  <c r="I10" i="7" s="1"/>
  <c r="H6" i="4"/>
  <c r="H10" i="7" s="1"/>
  <c r="D24" i="2"/>
  <c r="E10" i="2"/>
  <c r="G9" i="4"/>
  <c r="G9" i="7" s="1"/>
  <c r="D23" i="2"/>
  <c r="E8" i="2"/>
  <c r="E104" i="4"/>
  <c r="F104" i="4" s="1"/>
  <c r="G104" i="4" s="1"/>
  <c r="G7" i="4" s="1"/>
  <c r="E103" i="4"/>
  <c r="F103" i="4" s="1"/>
  <c r="G103" i="4" s="1"/>
  <c r="E102" i="4"/>
  <c r="F102" i="4" s="1"/>
  <c r="G102" i="4" s="1"/>
  <c r="E105" i="4"/>
  <c r="F105" i="4" s="1"/>
  <c r="G105" i="4" s="1"/>
  <c r="Q98" i="4"/>
  <c r="E27" i="4"/>
  <c r="F27" i="4" s="1"/>
  <c r="G27" i="4" s="1"/>
  <c r="E26" i="4"/>
  <c r="F26" i="4" s="1"/>
  <c r="G26" i="4" s="1"/>
  <c r="E25" i="4"/>
  <c r="F25" i="4" s="1"/>
  <c r="G25" i="4" s="1"/>
  <c r="C8" i="4" s="1"/>
  <c r="E28" i="4"/>
  <c r="F28" i="4" s="1"/>
  <c r="G28" i="4" s="1"/>
  <c r="Q21" i="4"/>
  <c r="D22" i="2"/>
  <c r="E9" i="2"/>
  <c r="E67" i="4"/>
  <c r="F67" i="4" s="1"/>
  <c r="G67" i="4" s="1"/>
  <c r="Q60" i="4"/>
  <c r="E66" i="4"/>
  <c r="F66" i="4" s="1"/>
  <c r="G66" i="4" s="1"/>
  <c r="E7" i="4" s="1"/>
  <c r="E65" i="4"/>
  <c r="F65" i="4" s="1"/>
  <c r="G65" i="4" s="1"/>
  <c r="E64" i="4"/>
  <c r="F64" i="4" s="1"/>
  <c r="G64" i="4" s="1"/>
  <c r="E8" i="4" s="1"/>
  <c r="I7" i="8"/>
  <c r="H7" i="9"/>
  <c r="E86" i="4"/>
  <c r="F86" i="4" s="1"/>
  <c r="G86" i="4" s="1"/>
  <c r="Q79" i="4"/>
  <c r="E85" i="4"/>
  <c r="F85" i="4" s="1"/>
  <c r="G85" i="4" s="1"/>
  <c r="F7" i="4" s="1"/>
  <c r="E84" i="4"/>
  <c r="F84" i="4" s="1"/>
  <c r="G84" i="4" s="1"/>
  <c r="E83" i="4"/>
  <c r="F83" i="4" s="1"/>
  <c r="G83" i="4" s="1"/>
  <c r="F8" i="4" s="1"/>
  <c r="E7" i="8"/>
  <c r="D7" i="9"/>
  <c r="E6" i="4"/>
  <c r="E10" i="7" s="1"/>
  <c r="L22" i="5"/>
  <c r="L23" i="5" s="1"/>
  <c r="L11" i="7" s="1"/>
  <c r="K22" i="5"/>
  <c r="K23" i="5" s="1"/>
  <c r="K11" i="7" s="1"/>
  <c r="J22" i="5"/>
  <c r="J23" i="5" s="1"/>
  <c r="J11" i="7" s="1"/>
  <c r="I22" i="5"/>
  <c r="I23" i="5" s="1"/>
  <c r="I11" i="7" s="1"/>
  <c r="H22" i="5"/>
  <c r="H23" i="5" s="1"/>
  <c r="H11" i="7" s="1"/>
  <c r="G22" i="5"/>
  <c r="G23" i="5" s="1"/>
  <c r="G11" i="7" s="1"/>
  <c r="F22" i="5"/>
  <c r="F23" i="5" s="1"/>
  <c r="F11" i="7" s="1"/>
  <c r="E22" i="5"/>
  <c r="E23" i="5" s="1"/>
  <c r="E11" i="7" s="1"/>
  <c r="D22" i="5"/>
  <c r="D23" i="5" s="1"/>
  <c r="D11" i="7" s="1"/>
  <c r="C22" i="5"/>
  <c r="C23" i="5" s="1"/>
  <c r="C11" i="7" s="1"/>
  <c r="L5" i="3"/>
  <c r="L6" i="7" s="1"/>
  <c r="L5" i="7" s="1"/>
  <c r="K5" i="3"/>
  <c r="K6" i="7" s="1"/>
  <c r="K5" i="7" s="1"/>
  <c r="J5" i="3"/>
  <c r="J6" i="7" s="1"/>
  <c r="J5" i="7" s="1"/>
  <c r="I5" i="3"/>
  <c r="I6" i="7" s="1"/>
  <c r="I5" i="7" s="1"/>
  <c r="H5" i="3"/>
  <c r="H6" i="7" s="1"/>
  <c r="H5" i="7" s="1"/>
  <c r="L9" i="4"/>
  <c r="L9" i="7" s="1"/>
  <c r="K9" i="4"/>
  <c r="K9" i="7" s="1"/>
  <c r="J9" i="4"/>
  <c r="J9" i="7" s="1"/>
  <c r="I9" i="4"/>
  <c r="I9" i="7" s="1"/>
  <c r="H9" i="4"/>
  <c r="H9" i="7" s="1"/>
  <c r="F35" i="1"/>
  <c r="D7" i="2" s="1"/>
  <c r="E7" i="9"/>
  <c r="F7" i="8"/>
  <c r="G7" i="8"/>
  <c r="F7" i="9"/>
  <c r="H7" i="8"/>
  <c r="G7" i="9"/>
  <c r="F10" i="4"/>
  <c r="F10" i="7" s="1"/>
  <c r="C2" i="6"/>
  <c r="M33" i="2"/>
  <c r="H10" i="4"/>
  <c r="I10" i="4"/>
  <c r="R60" i="4" l="1"/>
  <c r="F60" i="4" s="1"/>
  <c r="E60" i="4"/>
  <c r="F20" i="6"/>
  <c r="C7" i="6"/>
  <c r="F23" i="2"/>
  <c r="D36" i="2"/>
  <c r="E41" i="4"/>
  <c r="R41" i="4"/>
  <c r="F41" i="4" s="1"/>
  <c r="N33" i="2"/>
  <c r="F19" i="11"/>
  <c r="F6" i="11"/>
  <c r="I7" i="9"/>
  <c r="F12" i="11"/>
  <c r="J7" i="8"/>
  <c r="G36" i="9"/>
  <c r="G35" i="9" s="1"/>
  <c r="G8" i="10"/>
  <c r="G6" i="10" s="1"/>
  <c r="G9" i="10"/>
  <c r="G7" i="10" s="1"/>
  <c r="G6" i="9"/>
  <c r="D8" i="4"/>
  <c r="M15" i="9"/>
  <c r="N11" i="8"/>
  <c r="N25" i="8" s="1"/>
  <c r="D6" i="9"/>
  <c r="D8" i="10"/>
  <c r="D6" i="10" s="1"/>
  <c r="D9" i="10"/>
  <c r="D7" i="10" s="1"/>
  <c r="D36" i="9"/>
  <c r="D35" i="9" s="1"/>
  <c r="H21" i="8"/>
  <c r="H8" i="8"/>
  <c r="H22" i="8" s="1"/>
  <c r="D35" i="2"/>
  <c r="F22" i="2"/>
  <c r="E21" i="4"/>
  <c r="R21" i="4"/>
  <c r="F21" i="4" s="1"/>
  <c r="D12" i="2"/>
  <c r="D20" i="2"/>
  <c r="G6" i="2"/>
  <c r="E6" i="2"/>
  <c r="N7" i="8"/>
  <c r="M7" i="9"/>
  <c r="F36" i="9"/>
  <c r="F35" i="9" s="1"/>
  <c r="F6" i="9"/>
  <c r="F8" i="10"/>
  <c r="F6" i="10" s="1"/>
  <c r="F9" i="10"/>
  <c r="F7" i="10" s="1"/>
  <c r="F24" i="2"/>
  <c r="D37" i="2"/>
  <c r="L8" i="4"/>
  <c r="K8" i="4"/>
  <c r="J8" i="4"/>
  <c r="I8" i="4"/>
  <c r="H8" i="4"/>
  <c r="G8" i="8"/>
  <c r="G22" i="8" s="1"/>
  <c r="G21" i="8"/>
  <c r="K15" i="9"/>
  <c r="L11" i="8"/>
  <c r="L25" i="8" s="1"/>
  <c r="E8" i="8"/>
  <c r="E22" i="8" s="1"/>
  <c r="E21" i="8"/>
  <c r="F11" i="8"/>
  <c r="F25" i="8" s="1"/>
  <c r="E15" i="9"/>
  <c r="H11" i="8"/>
  <c r="H25" i="8" s="1"/>
  <c r="G15" i="9"/>
  <c r="C7" i="4"/>
  <c r="E117" i="4"/>
  <c r="R117" i="4"/>
  <c r="F117" i="4" s="1"/>
  <c r="F21" i="8"/>
  <c r="F8" i="8"/>
  <c r="F22" i="8" s="1"/>
  <c r="H15" i="9"/>
  <c r="I11" i="8"/>
  <c r="I25" i="8" s="1"/>
  <c r="H6" i="9"/>
  <c r="H9" i="10"/>
  <c r="H7" i="10" s="1"/>
  <c r="H36" i="9"/>
  <c r="H35" i="9" s="1"/>
  <c r="H8" i="10"/>
  <c r="H6" i="10" s="1"/>
  <c r="E98" i="4"/>
  <c r="R98" i="4"/>
  <c r="F98" i="4" s="1"/>
  <c r="J7" i="4"/>
  <c r="I7" i="4"/>
  <c r="H7" i="4"/>
  <c r="L7" i="4"/>
  <c r="K7" i="4"/>
  <c r="L15" i="9"/>
  <c r="M11" i="8"/>
  <c r="M25" i="8" s="1"/>
  <c r="J7" i="9"/>
  <c r="K7" i="8"/>
  <c r="D15" i="9"/>
  <c r="E11" i="8"/>
  <c r="E25" i="8" s="1"/>
  <c r="G11" i="8"/>
  <c r="G25" i="8" s="1"/>
  <c r="F15" i="9"/>
  <c r="J11" i="8"/>
  <c r="J25" i="8" s="1"/>
  <c r="I15" i="9"/>
  <c r="L7" i="8"/>
  <c r="K7" i="9"/>
  <c r="L7" i="9"/>
  <c r="M7" i="8"/>
  <c r="R79" i="4"/>
  <c r="F79" i="4" s="1"/>
  <c r="E79" i="4"/>
  <c r="E36" i="9"/>
  <c r="E35" i="9" s="1"/>
  <c r="E8" i="10"/>
  <c r="E6" i="10" s="1"/>
  <c r="E9" i="10"/>
  <c r="E7" i="10" s="1"/>
  <c r="E6" i="9"/>
  <c r="D21" i="2"/>
  <c r="G7" i="2"/>
  <c r="E7" i="2"/>
  <c r="J15" i="9"/>
  <c r="K11" i="8"/>
  <c r="K25" i="8" s="1"/>
  <c r="I21" i="8"/>
  <c r="I8" i="8"/>
  <c r="I22" i="8" s="1"/>
  <c r="G8" i="4"/>
  <c r="J21" i="8" l="1"/>
  <c r="J8" i="8"/>
  <c r="J22" i="8" s="1"/>
  <c r="F35" i="2"/>
  <c r="G35" i="2"/>
  <c r="I6" i="9"/>
  <c r="I8" i="10"/>
  <c r="I6" i="10" s="1"/>
  <c r="I36" i="9"/>
  <c r="I35" i="9" s="1"/>
  <c r="I9" i="10"/>
  <c r="I7" i="10" s="1"/>
  <c r="G47" i="9"/>
  <c r="G19" i="10"/>
  <c r="H19" i="11"/>
  <c r="E47" i="9"/>
  <c r="E19" i="10"/>
  <c r="L47" i="9"/>
  <c r="L19" i="10"/>
  <c r="O33" i="2"/>
  <c r="H37" i="2"/>
  <c r="G37" i="2"/>
  <c r="F37" i="2"/>
  <c r="I37" i="2"/>
  <c r="L8" i="8"/>
  <c r="L22" i="8" s="1"/>
  <c r="L21" i="8"/>
  <c r="G41" i="4"/>
  <c r="F53" i="4"/>
  <c r="F130" i="4"/>
  <c r="G117" i="4"/>
  <c r="M8" i="8"/>
  <c r="M22" i="8" s="1"/>
  <c r="M21" i="8"/>
  <c r="J19" i="10"/>
  <c r="J47" i="9"/>
  <c r="M8" i="10"/>
  <c r="M9" i="10"/>
  <c r="M36" i="9"/>
  <c r="L8" i="10"/>
  <c r="L6" i="10" s="1"/>
  <c r="L9" i="10"/>
  <c r="L7" i="10" s="1"/>
  <c r="L36" i="9"/>
  <c r="L35" i="9" s="1"/>
  <c r="L6" i="9"/>
  <c r="K8" i="10"/>
  <c r="K6" i="10" s="1"/>
  <c r="K9" i="10"/>
  <c r="K7" i="10" s="1"/>
  <c r="K36" i="9"/>
  <c r="K35" i="9" s="1"/>
  <c r="K6" i="9"/>
  <c r="I19" i="10"/>
  <c r="I47" i="9"/>
  <c r="F47" i="9"/>
  <c r="F19" i="10"/>
  <c r="K19" i="10"/>
  <c r="K47" i="9"/>
  <c r="N8" i="8"/>
  <c r="N22" i="8" s="1"/>
  <c r="N21" i="8"/>
  <c r="M19" i="10"/>
  <c r="M47" i="9"/>
  <c r="I36" i="2"/>
  <c r="H36" i="2"/>
  <c r="G36" i="2"/>
  <c r="F36" i="2"/>
  <c r="P36" i="2" s="1"/>
  <c r="Q36" i="2" s="1"/>
  <c r="E12" i="2"/>
  <c r="C140" i="6"/>
  <c r="C136" i="6"/>
  <c r="C132" i="6"/>
  <c r="C128" i="6"/>
  <c r="C124" i="6"/>
  <c r="C138" i="6"/>
  <c r="C134" i="6"/>
  <c r="C130" i="6"/>
  <c r="C126" i="6"/>
  <c r="C122" i="6"/>
  <c r="C118" i="6"/>
  <c r="C114" i="6"/>
  <c r="C110" i="6"/>
  <c r="C106" i="6"/>
  <c r="C102" i="6"/>
  <c r="C98" i="6"/>
  <c r="C94" i="6"/>
  <c r="C90" i="6"/>
  <c r="C86" i="6"/>
  <c r="C82" i="6"/>
  <c r="C78" i="6"/>
  <c r="C74" i="6"/>
  <c r="C70" i="6"/>
  <c r="C66" i="6"/>
  <c r="C62" i="6"/>
  <c r="C58" i="6"/>
  <c r="C54" i="6"/>
  <c r="C137" i="6"/>
  <c r="C133" i="6"/>
  <c r="C129" i="6"/>
  <c r="C125" i="6"/>
  <c r="C121" i="6"/>
  <c r="C117" i="6"/>
  <c r="C113" i="6"/>
  <c r="C109" i="6"/>
  <c r="C105" i="6"/>
  <c r="C101" i="6"/>
  <c r="C97" i="6"/>
  <c r="C93" i="6"/>
  <c r="C89" i="6"/>
  <c r="C85" i="6"/>
  <c r="C81" i="6"/>
  <c r="C77" i="6"/>
  <c r="C73" i="6"/>
  <c r="C69" i="6"/>
  <c r="C65" i="6"/>
  <c r="C61" i="6"/>
  <c r="C57" i="6"/>
  <c r="C53" i="6"/>
  <c r="C49" i="6"/>
  <c r="C45" i="6"/>
  <c r="C41" i="6"/>
  <c r="C37" i="6"/>
  <c r="C33" i="6"/>
  <c r="C29" i="6"/>
  <c r="C25" i="6"/>
  <c r="C21" i="6"/>
  <c r="C135" i="6"/>
  <c r="C116" i="6"/>
  <c r="C88" i="6"/>
  <c r="C79" i="6"/>
  <c r="C56" i="6"/>
  <c r="C43" i="6"/>
  <c r="C26" i="6"/>
  <c r="C111" i="6"/>
  <c r="C47" i="6"/>
  <c r="C30" i="6"/>
  <c r="C127" i="6"/>
  <c r="C92" i="6"/>
  <c r="C83" i="6"/>
  <c r="C60" i="6"/>
  <c r="C51" i="6"/>
  <c r="C34" i="6"/>
  <c r="C38" i="6"/>
  <c r="C120" i="6"/>
  <c r="C115" i="6"/>
  <c r="C96" i="6"/>
  <c r="C87" i="6"/>
  <c r="C64" i="6"/>
  <c r="C55" i="6"/>
  <c r="C42" i="6"/>
  <c r="C46" i="6"/>
  <c r="C100" i="6"/>
  <c r="C91" i="6"/>
  <c r="C68" i="6"/>
  <c r="C59" i="6"/>
  <c r="C50" i="6"/>
  <c r="C24" i="6"/>
  <c r="C119" i="6"/>
  <c r="C104" i="6"/>
  <c r="C95" i="6"/>
  <c r="C72" i="6"/>
  <c r="C63" i="6"/>
  <c r="C28" i="6"/>
  <c r="C139" i="6"/>
  <c r="C131" i="6"/>
  <c r="C32" i="6"/>
  <c r="C108" i="6"/>
  <c r="C99" i="6"/>
  <c r="C76" i="6"/>
  <c r="C67" i="6"/>
  <c r="C36" i="6"/>
  <c r="C40" i="6"/>
  <c r="C23" i="6"/>
  <c r="C123" i="6"/>
  <c r="C103" i="6"/>
  <c r="C80" i="6"/>
  <c r="C71" i="6"/>
  <c r="C44" i="6"/>
  <c r="C27" i="6"/>
  <c r="C112" i="6"/>
  <c r="C48" i="6"/>
  <c r="C31" i="6"/>
  <c r="C107" i="6"/>
  <c r="C84" i="6"/>
  <c r="C75" i="6"/>
  <c r="C52" i="6"/>
  <c r="C35" i="6"/>
  <c r="C39" i="6"/>
  <c r="C22" i="6"/>
  <c r="D47" i="9"/>
  <c r="D19" i="10"/>
  <c r="F20" i="2"/>
  <c r="D33" i="2"/>
  <c r="D25" i="2"/>
  <c r="D21" i="6"/>
  <c r="D34" i="2"/>
  <c r="F21" i="2"/>
  <c r="K21" i="8"/>
  <c r="K8" i="8"/>
  <c r="K22" i="8" s="1"/>
  <c r="J6" i="9"/>
  <c r="J9" i="10"/>
  <c r="J7" i="10" s="1"/>
  <c r="J36" i="9"/>
  <c r="J35" i="9" s="1"/>
  <c r="J8" i="10"/>
  <c r="J6" i="10" s="1"/>
  <c r="F20" i="11"/>
  <c r="C12" i="9"/>
  <c r="F17" i="11"/>
  <c r="F27" i="11"/>
  <c r="H27" i="11" s="1"/>
  <c r="F23" i="11"/>
  <c r="F13" i="2"/>
  <c r="G12" i="2"/>
  <c r="G9" i="2"/>
  <c r="G10" i="2"/>
  <c r="G8" i="2"/>
  <c r="G98" i="4"/>
  <c r="F110" i="4"/>
  <c r="H19" i="10"/>
  <c r="H47" i="9"/>
  <c r="G79" i="4"/>
  <c r="F91" i="4"/>
  <c r="G21" i="4"/>
  <c r="F33" i="4"/>
  <c r="G60" i="4"/>
  <c r="F72" i="4"/>
  <c r="C38" i="9" l="1"/>
  <c r="C37" i="9" s="1"/>
  <c r="C35" i="9" s="1"/>
  <c r="C50" i="9" s="1"/>
  <c r="E13" i="2"/>
  <c r="D13" i="2" s="1"/>
  <c r="P37" i="2"/>
  <c r="Q37" i="2" s="1"/>
  <c r="G33" i="4"/>
  <c r="C5" i="4"/>
  <c r="F33" i="2"/>
  <c r="D38" i="2"/>
  <c r="D5" i="4"/>
  <c r="G53" i="4"/>
  <c r="F25" i="2"/>
  <c r="O34" i="2"/>
  <c r="O38" i="2" s="1"/>
  <c r="L13" i="7" s="1"/>
  <c r="N34" i="2"/>
  <c r="N38" i="2" s="1"/>
  <c r="K13" i="7" s="1"/>
  <c r="M34" i="2"/>
  <c r="M38" i="2" s="1"/>
  <c r="J13" i="7" s="1"/>
  <c r="L34" i="2"/>
  <c r="L38" i="2" s="1"/>
  <c r="I13" i="7" s="1"/>
  <c r="K34" i="2"/>
  <c r="K38" i="2" s="1"/>
  <c r="H13" i="7" s="1"/>
  <c r="J34" i="2"/>
  <c r="J38" i="2" s="1"/>
  <c r="G13" i="7" s="1"/>
  <c r="I34" i="2"/>
  <c r="H34" i="2"/>
  <c r="G34" i="2"/>
  <c r="F34" i="2"/>
  <c r="L5" i="4"/>
  <c r="K5" i="4"/>
  <c r="J5" i="4"/>
  <c r="I5" i="4"/>
  <c r="H5" i="4"/>
  <c r="G130" i="4"/>
  <c r="P35" i="2"/>
  <c r="Q35" i="2" s="1"/>
  <c r="E5" i="4"/>
  <c r="G72" i="4"/>
  <c r="G91" i="4"/>
  <c r="F5" i="4"/>
  <c r="E21" i="6"/>
  <c r="C44" i="9"/>
  <c r="C43" i="9" s="1"/>
  <c r="C15" i="10"/>
  <c r="C11" i="9"/>
  <c r="C17" i="9" s="1"/>
  <c r="G110" i="4"/>
  <c r="G5" i="4"/>
  <c r="C13" i="10" l="1"/>
  <c r="C21" i="10" s="1"/>
  <c r="C14" i="10"/>
  <c r="C24" i="10" s="1"/>
  <c r="I8" i="7"/>
  <c r="I11" i="4"/>
  <c r="D8" i="7"/>
  <c r="D11" i="4"/>
  <c r="K8" i="7"/>
  <c r="K11" i="4"/>
  <c r="G8" i="7"/>
  <c r="G11" i="4"/>
  <c r="C8" i="7"/>
  <c r="C11" i="4"/>
  <c r="P34" i="2"/>
  <c r="Q34" i="2" s="1"/>
  <c r="C18" i="9"/>
  <c r="C25" i="9"/>
  <c r="J8" i="7"/>
  <c r="J11" i="4"/>
  <c r="F21" i="6"/>
  <c r="E8" i="7"/>
  <c r="E11" i="4"/>
  <c r="D40" i="2"/>
  <c r="L11" i="4"/>
  <c r="L8" i="7"/>
  <c r="F8" i="7"/>
  <c r="F11" i="4"/>
  <c r="H8" i="7"/>
  <c r="H11" i="4"/>
  <c r="F38" i="2"/>
  <c r="C13" i="7" s="1"/>
  <c r="G33" i="2"/>
  <c r="I14" i="9" l="1"/>
  <c r="J10" i="8"/>
  <c r="J24" i="8" s="1"/>
  <c r="J6" i="8"/>
  <c r="J20" i="8" s="1"/>
  <c r="J23" i="8" s="1"/>
  <c r="H7" i="7"/>
  <c r="I6" i="8"/>
  <c r="I20" i="8" s="1"/>
  <c r="I23" i="8" s="1"/>
  <c r="I10" i="8"/>
  <c r="I24" i="8" s="1"/>
  <c r="G7" i="7"/>
  <c r="H14" i="9"/>
  <c r="C7" i="7"/>
  <c r="D14" i="9"/>
  <c r="E10" i="8"/>
  <c r="E24" i="8" s="1"/>
  <c r="E6" i="8"/>
  <c r="E20" i="8" s="1"/>
  <c r="E23" i="8" s="1"/>
  <c r="D7" i="7"/>
  <c r="E14" i="9"/>
  <c r="F10" i="8"/>
  <c r="F24" i="8" s="1"/>
  <c r="F6" i="8"/>
  <c r="F20" i="8" s="1"/>
  <c r="F23" i="8" s="1"/>
  <c r="G14" i="9"/>
  <c r="H10" i="8"/>
  <c r="H24" i="8" s="1"/>
  <c r="H6" i="8"/>
  <c r="H20" i="8" s="1"/>
  <c r="H23" i="8" s="1"/>
  <c r="F7" i="7"/>
  <c r="M14" i="9"/>
  <c r="N6" i="8"/>
  <c r="N20" i="8" s="1"/>
  <c r="N23" i="8" s="1"/>
  <c r="L7" i="7"/>
  <c r="N10" i="8"/>
  <c r="N24" i="8" s="1"/>
  <c r="E7" i="7"/>
  <c r="F14" i="9"/>
  <c r="G10" i="8"/>
  <c r="G24" i="8" s="1"/>
  <c r="G6" i="8"/>
  <c r="G20" i="8" s="1"/>
  <c r="G23" i="8" s="1"/>
  <c r="I7" i="7"/>
  <c r="K10" i="8"/>
  <c r="K24" i="8" s="1"/>
  <c r="K6" i="8"/>
  <c r="K20" i="8" s="1"/>
  <c r="K23" i="8" s="1"/>
  <c r="J14" i="9"/>
  <c r="D42" i="2"/>
  <c r="F40" i="2"/>
  <c r="K7" i="7"/>
  <c r="L14" i="9"/>
  <c r="M10" i="8"/>
  <c r="M24" i="8" s="1"/>
  <c r="M6" i="8"/>
  <c r="M20" i="8" s="1"/>
  <c r="M23" i="8" s="1"/>
  <c r="D22" i="6"/>
  <c r="G38" i="2"/>
  <c r="D13" i="7" s="1"/>
  <c r="H33" i="2"/>
  <c r="J7" i="7"/>
  <c r="K14" i="9"/>
  <c r="L10" i="8"/>
  <c r="L24" i="8" s="1"/>
  <c r="L6" i="8"/>
  <c r="L20" i="8" s="1"/>
  <c r="L23" i="8" s="1"/>
  <c r="C25" i="10"/>
  <c r="C35" i="10"/>
  <c r="C26" i="9"/>
  <c r="C32" i="10"/>
  <c r="C22" i="10"/>
  <c r="I12" i="7" l="1"/>
  <c r="C12" i="7"/>
  <c r="D12" i="7"/>
  <c r="E22" i="6"/>
  <c r="G12" i="7"/>
  <c r="K18" i="10"/>
  <c r="K46" i="9"/>
  <c r="K17" i="10"/>
  <c r="J18" i="10"/>
  <c r="J46" i="9"/>
  <c r="J17" i="10"/>
  <c r="E12" i="7"/>
  <c r="C33" i="10"/>
  <c r="L46" i="9"/>
  <c r="L17" i="10"/>
  <c r="L18" i="10"/>
  <c r="D17" i="10"/>
  <c r="D18" i="10"/>
  <c r="D46" i="9"/>
  <c r="H46" i="9"/>
  <c r="H17" i="10"/>
  <c r="H18" i="10"/>
  <c r="K12" i="7"/>
  <c r="F12" i="7"/>
  <c r="H12" i="7"/>
  <c r="E17" i="10"/>
  <c r="E18" i="10"/>
  <c r="E46" i="9"/>
  <c r="J12" i="7"/>
  <c r="L12" i="7"/>
  <c r="H38" i="2"/>
  <c r="E13" i="7" s="1"/>
  <c r="I33" i="2"/>
  <c r="I38" i="2" s="1"/>
  <c r="F13" i="7" s="1"/>
  <c r="C36" i="10"/>
  <c r="F17" i="10"/>
  <c r="F46" i="9"/>
  <c r="F18" i="10"/>
  <c r="M17" i="10"/>
  <c r="M18" i="10"/>
  <c r="M46" i="9"/>
  <c r="G40" i="2"/>
  <c r="G18" i="10"/>
  <c r="G46" i="9"/>
  <c r="G17" i="10"/>
  <c r="I18" i="10"/>
  <c r="I46" i="9"/>
  <c r="I17" i="10"/>
  <c r="F22" i="6" l="1"/>
  <c r="H40" i="2"/>
  <c r="P33" i="2"/>
  <c r="I40" i="2" l="1"/>
  <c r="P38" i="2"/>
  <c r="Q38" i="2" s="1"/>
  <c r="Q33" i="2"/>
  <c r="D23" i="6"/>
  <c r="J40" i="2" l="1"/>
  <c r="E23" i="6"/>
  <c r="K40" i="2" l="1"/>
  <c r="F23" i="6"/>
  <c r="L40" i="2" l="1"/>
  <c r="D24" i="6"/>
  <c r="E24" i="6" l="1"/>
  <c r="M40" i="2"/>
  <c r="N40" i="2" l="1"/>
  <c r="F24" i="6"/>
  <c r="D25" i="6" l="1"/>
  <c r="E25" i="6" s="1"/>
  <c r="O40" i="2"/>
  <c r="Q40" i="2" l="1"/>
  <c r="F25" i="6"/>
  <c r="D26" i="6" l="1"/>
  <c r="E26" i="6" s="1"/>
  <c r="F26" i="6" s="1"/>
  <c r="M9" i="9"/>
  <c r="D27" i="6" l="1"/>
  <c r="E27" i="6" s="1"/>
  <c r="F27" i="6" s="1"/>
  <c r="M11" i="10"/>
  <c r="M41" i="9"/>
  <c r="D28" i="6" l="1"/>
  <c r="E28" i="6" s="1"/>
  <c r="F28" i="6" s="1"/>
  <c r="D29" i="6" l="1"/>
  <c r="E29" i="6" s="1"/>
  <c r="F29" i="6" s="1"/>
  <c r="D30" i="6" l="1"/>
  <c r="E30" i="6" s="1"/>
  <c r="F30" i="6"/>
  <c r="D31" i="6" l="1"/>
  <c r="E31" i="6" s="1"/>
  <c r="F31" i="6" s="1"/>
  <c r="D32" i="6" l="1"/>
  <c r="E32" i="6" l="1"/>
  <c r="C11" i="6"/>
  <c r="C14" i="7" l="1"/>
  <c r="C12" i="6"/>
  <c r="F32" i="6"/>
  <c r="D33" i="6" l="1"/>
  <c r="C13" i="6"/>
  <c r="E12" i="8"/>
  <c r="E26" i="8" s="1"/>
  <c r="C15" i="7"/>
  <c r="C16" i="7"/>
  <c r="C17" i="7" l="1"/>
  <c r="C18" i="7"/>
  <c r="D49" i="9"/>
  <c r="E33" i="6"/>
  <c r="F33" i="6" l="1"/>
  <c r="E13" i="8"/>
  <c r="E27" i="8" s="1"/>
  <c r="E28" i="8" s="1"/>
  <c r="E29" i="8" s="1"/>
  <c r="D16" i="9"/>
  <c r="E30" i="8" l="1"/>
  <c r="F41" i="2"/>
  <c r="F42" i="2" s="1"/>
  <c r="D13" i="9"/>
  <c r="D48" i="9"/>
  <c r="D20" i="10"/>
  <c r="D34" i="6"/>
  <c r="E34" i="6" l="1"/>
  <c r="D45" i="9"/>
  <c r="D43" i="9" s="1"/>
  <c r="D50" i="9" s="1"/>
  <c r="D51" i="9" s="1"/>
  <c r="D16" i="10"/>
  <c r="D11" i="9"/>
  <c r="D17" i="9" s="1"/>
  <c r="D13" i="10" l="1"/>
  <c r="D21" i="10" s="1"/>
  <c r="D14" i="10"/>
  <c r="D24" i="10" s="1"/>
  <c r="D25" i="9"/>
  <c r="D18" i="9"/>
  <c r="F34" i="6"/>
  <c r="D35" i="6" l="1"/>
  <c r="D26" i="9"/>
  <c r="D35" i="10"/>
  <c r="D25" i="10"/>
  <c r="D32" i="10"/>
  <c r="D22" i="10"/>
  <c r="D33" i="10" l="1"/>
  <c r="E35" i="6"/>
  <c r="D36" i="10"/>
  <c r="F35" i="6" l="1"/>
  <c r="D36" i="6" l="1"/>
  <c r="E36" i="6" l="1"/>
  <c r="F36" i="6" l="1"/>
  <c r="D37" i="6" l="1"/>
  <c r="E37" i="6" l="1"/>
  <c r="F37" i="6" l="1"/>
  <c r="D38" i="6" l="1"/>
  <c r="E38" i="6" s="1"/>
  <c r="F38" i="6" s="1"/>
  <c r="D39" i="6" l="1"/>
  <c r="E39" i="6" s="1"/>
  <c r="F39" i="6" s="1"/>
  <c r="D40" i="6" l="1"/>
  <c r="E40" i="6" s="1"/>
  <c r="F40" i="6" s="1"/>
  <c r="D41" i="6" l="1"/>
  <c r="E41" i="6" s="1"/>
  <c r="F41" i="6" s="1"/>
  <c r="D42" i="6" l="1"/>
  <c r="E42" i="6" s="1"/>
  <c r="F42" i="6" s="1"/>
  <c r="D43" i="6" l="1"/>
  <c r="E43" i="6" s="1"/>
  <c r="F43" i="6" s="1"/>
  <c r="D44" i="6" l="1"/>
  <c r="E44" i="6" l="1"/>
  <c r="D11" i="6"/>
  <c r="D14" i="7" l="1"/>
  <c r="D12" i="6"/>
  <c r="F44" i="6"/>
  <c r="D13" i="6" l="1"/>
  <c r="D45" i="6"/>
  <c r="F12" i="8"/>
  <c r="F26" i="8" s="1"/>
  <c r="D15" i="7"/>
  <c r="D16" i="7"/>
  <c r="D17" i="7" l="1"/>
  <c r="E45" i="6"/>
  <c r="E49" i="9"/>
  <c r="F45" i="6" l="1"/>
  <c r="E16" i="9"/>
  <c r="F13" i="8"/>
  <c r="F27" i="8" s="1"/>
  <c r="F28" i="8" s="1"/>
  <c r="F29" i="8" s="1"/>
  <c r="D18" i="7"/>
  <c r="E20" i="10" l="1"/>
  <c r="E48" i="9"/>
  <c r="F30" i="8"/>
  <c r="E13" i="9"/>
  <c r="G41" i="2"/>
  <c r="G42" i="2" s="1"/>
  <c r="D46" i="6"/>
  <c r="E11" i="9" l="1"/>
  <c r="E17" i="9" s="1"/>
  <c r="E45" i="9"/>
  <c r="E43" i="9" s="1"/>
  <c r="E50" i="9" s="1"/>
  <c r="E51" i="9" s="1"/>
  <c r="E16" i="10"/>
  <c r="E46" i="6"/>
  <c r="F46" i="6" l="1"/>
  <c r="E13" i="10"/>
  <c r="E21" i="10" s="1"/>
  <c r="E14" i="10"/>
  <c r="E24" i="10" s="1"/>
  <c r="E25" i="9"/>
  <c r="E18" i="9"/>
  <c r="E35" i="10" l="1"/>
  <c r="E25" i="10"/>
  <c r="E26" i="9"/>
  <c r="E32" i="10"/>
  <c r="E22" i="10"/>
  <c r="D47" i="6"/>
  <c r="E47" i="6" l="1"/>
  <c r="E36" i="10"/>
  <c r="E33" i="10"/>
  <c r="F47" i="6" l="1"/>
  <c r="D48" i="6" l="1"/>
  <c r="E48" i="6" l="1"/>
  <c r="F48" i="6" l="1"/>
  <c r="D49" i="6" l="1"/>
  <c r="E49" i="6" l="1"/>
  <c r="F49" i="6" l="1"/>
  <c r="D50" i="6" l="1"/>
  <c r="E50" i="6" s="1"/>
  <c r="F50" i="6" s="1"/>
  <c r="D51" i="6" l="1"/>
  <c r="E51" i="6" s="1"/>
  <c r="F51" i="6"/>
  <c r="D52" i="6" l="1"/>
  <c r="E52" i="6" s="1"/>
  <c r="F52" i="6" s="1"/>
  <c r="D53" i="6" l="1"/>
  <c r="E53" i="6" s="1"/>
  <c r="F53" i="6" s="1"/>
  <c r="D54" i="6" l="1"/>
  <c r="E54" i="6" s="1"/>
  <c r="F54" i="6" s="1"/>
  <c r="D55" i="6" l="1"/>
  <c r="E55" i="6" s="1"/>
  <c r="F55" i="6" s="1"/>
  <c r="D56" i="6" l="1"/>
  <c r="E56" i="6" l="1"/>
  <c r="E11" i="6"/>
  <c r="E14" i="7" l="1"/>
  <c r="E12" i="6"/>
  <c r="F56" i="6"/>
  <c r="E13" i="6" l="1"/>
  <c r="D57" i="6"/>
  <c r="G12" i="8"/>
  <c r="G26" i="8" s="1"/>
  <c r="E15" i="7"/>
  <c r="E16" i="7"/>
  <c r="E17" i="7" l="1"/>
  <c r="E18" i="7"/>
  <c r="E57" i="6"/>
  <c r="F49" i="9"/>
  <c r="F57" i="6" l="1"/>
  <c r="G13" i="8"/>
  <c r="G27" i="8" s="1"/>
  <c r="G28" i="8" s="1"/>
  <c r="G29" i="8" s="1"/>
  <c r="F16" i="9"/>
  <c r="F20" i="10" l="1"/>
  <c r="F48" i="9"/>
  <c r="F13" i="9"/>
  <c r="G30" i="8"/>
  <c r="H41" i="2"/>
  <c r="H42" i="2" s="1"/>
  <c r="D58" i="6"/>
  <c r="E58" i="6" l="1"/>
  <c r="F45" i="9"/>
  <c r="F43" i="9" s="1"/>
  <c r="F50" i="9" s="1"/>
  <c r="F51" i="9" s="1"/>
  <c r="F16" i="10"/>
  <c r="F11" i="9"/>
  <c r="F17" i="9" s="1"/>
  <c r="F14" i="10" l="1"/>
  <c r="F24" i="10" s="1"/>
  <c r="F13" i="10"/>
  <c r="F21" i="10" s="1"/>
  <c r="F25" i="9"/>
  <c r="F18" i="9"/>
  <c r="F58" i="6"/>
  <c r="D59" i="6" l="1"/>
  <c r="F32" i="10"/>
  <c r="F22" i="10"/>
  <c r="F26" i="9"/>
  <c r="F35" i="10"/>
  <c r="F25" i="10"/>
  <c r="F36" i="10" l="1"/>
  <c r="E59" i="6"/>
  <c r="F33" i="10"/>
  <c r="F59" i="6" l="1"/>
  <c r="D60" i="6" l="1"/>
  <c r="E60" i="6" l="1"/>
  <c r="F60" i="6" l="1"/>
  <c r="D61" i="6" l="1"/>
  <c r="E61" i="6" l="1"/>
  <c r="F61" i="6" l="1"/>
  <c r="D62" i="6" l="1"/>
  <c r="E62" i="6" s="1"/>
  <c r="F62" i="6" s="1"/>
  <c r="D63" i="6" l="1"/>
  <c r="E63" i="6" s="1"/>
  <c r="F63" i="6" s="1"/>
  <c r="D64" i="6" l="1"/>
  <c r="E64" i="6" s="1"/>
  <c r="F64" i="6" s="1"/>
  <c r="D65" i="6" l="1"/>
  <c r="E65" i="6" s="1"/>
  <c r="F65" i="6"/>
  <c r="D66" i="6" l="1"/>
  <c r="E66" i="6" s="1"/>
  <c r="F66" i="6" s="1"/>
  <c r="D67" i="6" l="1"/>
  <c r="E67" i="6" s="1"/>
  <c r="F67" i="6" s="1"/>
  <c r="D68" i="6" l="1"/>
  <c r="E68" i="6" l="1"/>
  <c r="F11" i="6"/>
  <c r="F14" i="7" l="1"/>
  <c r="F12" i="6"/>
  <c r="F13" i="6" s="1"/>
  <c r="F68" i="6"/>
  <c r="G49" i="9" l="1"/>
  <c r="D69" i="6"/>
  <c r="H12" i="8"/>
  <c r="H26" i="8" s="1"/>
  <c r="F15" i="7"/>
  <c r="F16" i="7"/>
  <c r="F17" i="7" l="1"/>
  <c r="F18" i="7"/>
  <c r="E69" i="6"/>
  <c r="F69" i="6" l="1"/>
  <c r="G16" i="9"/>
  <c r="H13" i="8"/>
  <c r="H27" i="8" s="1"/>
  <c r="H28" i="8" s="1"/>
  <c r="H29" i="8" s="1"/>
  <c r="G13" i="9" l="1"/>
  <c r="H30" i="8"/>
  <c r="I41" i="2"/>
  <c r="I42" i="2" s="1"/>
  <c r="D70" i="6"/>
  <c r="G20" i="10"/>
  <c r="G48" i="9"/>
  <c r="E70" i="6" l="1"/>
  <c r="G16" i="10"/>
  <c r="G11" i="9"/>
  <c r="G17" i="9" s="1"/>
  <c r="G45" i="9"/>
  <c r="G43" i="9" s="1"/>
  <c r="G50" i="9" s="1"/>
  <c r="G51" i="9" s="1"/>
  <c r="G25" i="9" l="1"/>
  <c r="G18" i="9"/>
  <c r="G13" i="10"/>
  <c r="G21" i="10" s="1"/>
  <c r="G14" i="10"/>
  <c r="G24" i="10" s="1"/>
  <c r="F70" i="6"/>
  <c r="G32" i="10" l="1"/>
  <c r="G22" i="10"/>
  <c r="D71" i="6"/>
  <c r="G35" i="10"/>
  <c r="G25" i="10"/>
  <c r="G26" i="9"/>
  <c r="G36" i="10" l="1"/>
  <c r="E71" i="6"/>
  <c r="G33" i="10"/>
  <c r="F71" i="6" l="1"/>
  <c r="D72" i="6" l="1"/>
  <c r="E72" i="6" l="1"/>
  <c r="F72" i="6" l="1"/>
  <c r="D73" i="6" l="1"/>
  <c r="E73" i="6" l="1"/>
  <c r="F73" i="6" l="1"/>
  <c r="D74" i="6" l="1"/>
  <c r="E74" i="6" s="1"/>
  <c r="F74" i="6"/>
  <c r="D75" i="6" l="1"/>
  <c r="E75" i="6" s="1"/>
  <c r="F75" i="6" s="1"/>
  <c r="D76" i="6" l="1"/>
  <c r="E76" i="6" s="1"/>
  <c r="F76" i="6" s="1"/>
  <c r="D77" i="6" l="1"/>
  <c r="E77" i="6" s="1"/>
  <c r="F77" i="6" s="1"/>
  <c r="D78" i="6" l="1"/>
  <c r="E78" i="6" s="1"/>
  <c r="F78" i="6" s="1"/>
  <c r="D79" i="6" l="1"/>
  <c r="E79" i="6" s="1"/>
  <c r="F79" i="6" s="1"/>
  <c r="D80" i="6" l="1"/>
  <c r="E80" i="6" l="1"/>
  <c r="G11" i="6"/>
  <c r="G14" i="7" l="1"/>
  <c r="G12" i="6"/>
  <c r="G13" i="6" s="1"/>
  <c r="F80" i="6"/>
  <c r="H49" i="9" l="1"/>
  <c r="D81" i="6"/>
  <c r="I12" i="8"/>
  <c r="I26" i="8" s="1"/>
  <c r="G15" i="7"/>
  <c r="G16" i="7"/>
  <c r="G17" i="7" l="1"/>
  <c r="G18" i="7"/>
  <c r="E81" i="6"/>
  <c r="F81" i="6" l="1"/>
  <c r="H16" i="9"/>
  <c r="I13" i="8"/>
  <c r="I27" i="8" s="1"/>
  <c r="I28" i="8" s="1"/>
  <c r="I29" i="8" s="1"/>
  <c r="I30" i="8" l="1"/>
  <c r="H13" i="9"/>
  <c r="J41" i="2"/>
  <c r="J42" i="2" s="1"/>
  <c r="H48" i="9"/>
  <c r="H20" i="10"/>
  <c r="D82" i="6"/>
  <c r="E82" i="6" l="1"/>
  <c r="H45" i="9"/>
  <c r="H43" i="9" s="1"/>
  <c r="H50" i="9" s="1"/>
  <c r="H51" i="9" s="1"/>
  <c r="H16" i="10"/>
  <c r="H11" i="9"/>
  <c r="H17" i="9" s="1"/>
  <c r="H25" i="9" l="1"/>
  <c r="H26" i="9" s="1"/>
  <c r="H18" i="9"/>
  <c r="H14" i="10"/>
  <c r="H24" i="10" s="1"/>
  <c r="H13" i="10"/>
  <c r="H21" i="10" s="1"/>
  <c r="F82" i="6"/>
  <c r="D83" i="6" l="1"/>
  <c r="H32" i="10"/>
  <c r="H33" i="10" s="1"/>
  <c r="H22" i="10"/>
  <c r="H35" i="10"/>
  <c r="H36" i="10" s="1"/>
  <c r="H25" i="10"/>
  <c r="E83" i="6" l="1"/>
  <c r="F83" i="6" l="1"/>
  <c r="D84" i="6" l="1"/>
  <c r="E84" i="6" l="1"/>
  <c r="F84" i="6" l="1"/>
  <c r="D85" i="6" l="1"/>
  <c r="E85" i="6" l="1"/>
  <c r="F85" i="6" l="1"/>
  <c r="D86" i="6" l="1"/>
  <c r="E86" i="6" s="1"/>
  <c r="F86" i="6" s="1"/>
  <c r="D87" i="6" l="1"/>
  <c r="E87" i="6" s="1"/>
  <c r="F87" i="6" s="1"/>
  <c r="D88" i="6" l="1"/>
  <c r="E88" i="6" s="1"/>
  <c r="F88" i="6" s="1"/>
  <c r="D89" i="6" l="1"/>
  <c r="E89" i="6" s="1"/>
  <c r="F89" i="6" s="1"/>
  <c r="D90" i="6" l="1"/>
  <c r="E90" i="6" s="1"/>
  <c r="F90" i="6" s="1"/>
  <c r="D91" i="6" l="1"/>
  <c r="E91" i="6" s="1"/>
  <c r="F91" i="6" s="1"/>
  <c r="D92" i="6" l="1"/>
  <c r="E92" i="6" l="1"/>
  <c r="H11" i="6"/>
  <c r="H14" i="7" l="1"/>
  <c r="H12" i="6"/>
  <c r="H13" i="6" s="1"/>
  <c r="I49" i="9" s="1"/>
  <c r="F92" i="6"/>
  <c r="D93" i="6" l="1"/>
  <c r="J12" i="8"/>
  <c r="J26" i="8" s="1"/>
  <c r="H15" i="7"/>
  <c r="F7" i="11" s="1"/>
  <c r="H6" i="11" s="1"/>
  <c r="H16" i="7"/>
  <c r="E93" i="6" l="1"/>
  <c r="H17" i="7"/>
  <c r="I16" i="9" l="1"/>
  <c r="J13" i="8"/>
  <c r="J27" i="8" s="1"/>
  <c r="J28" i="8" s="1"/>
  <c r="J29" i="8" s="1"/>
  <c r="H18" i="7"/>
  <c r="F93" i="6"/>
  <c r="F11" i="11" l="1"/>
  <c r="H11" i="11" s="1"/>
  <c r="F22" i="11"/>
  <c r="H22" i="11" s="1"/>
  <c r="F16" i="11"/>
  <c r="H16" i="11" s="1"/>
  <c r="D94" i="6"/>
  <c r="J30" i="8"/>
  <c r="I13" i="9"/>
  <c r="K41" i="2"/>
  <c r="K42" i="2" s="1"/>
  <c r="I20" i="10"/>
  <c r="I48" i="9"/>
  <c r="I45" i="9" l="1"/>
  <c r="I43" i="9" s="1"/>
  <c r="I50" i="9" s="1"/>
  <c r="I51" i="9" s="1"/>
  <c r="I16" i="10"/>
  <c r="I11" i="9"/>
  <c r="I17" i="9" s="1"/>
  <c r="E94" i="6"/>
  <c r="I25" i="9" l="1"/>
  <c r="I26" i="9" s="1"/>
  <c r="I18" i="9"/>
  <c r="F94" i="6"/>
  <c r="I14" i="10"/>
  <c r="I24" i="10" s="1"/>
  <c r="I13" i="10"/>
  <c r="I21" i="10" s="1"/>
  <c r="I32" i="10" l="1"/>
  <c r="I33" i="10" s="1"/>
  <c r="I22" i="10"/>
  <c r="D95" i="6"/>
  <c r="I35" i="10"/>
  <c r="I36" i="10" s="1"/>
  <c r="I25" i="10"/>
  <c r="E95" i="6" l="1"/>
  <c r="F95" i="6" l="1"/>
  <c r="D96" i="6" l="1"/>
  <c r="E96" i="6" l="1"/>
  <c r="F96" i="6" l="1"/>
  <c r="D97" i="6" l="1"/>
  <c r="E97" i="6" l="1"/>
  <c r="F97" i="6" l="1"/>
  <c r="D98" i="6" l="1"/>
  <c r="E98" i="6" s="1"/>
  <c r="F98" i="6" s="1"/>
  <c r="F99" i="6" l="1"/>
  <c r="D99" i="6"/>
  <c r="E99" i="6" s="1"/>
  <c r="D100" i="6" l="1"/>
  <c r="E100" i="6" s="1"/>
  <c r="F100" i="6" s="1"/>
  <c r="D101" i="6" l="1"/>
  <c r="E101" i="6" s="1"/>
  <c r="F101" i="6" s="1"/>
  <c r="D102" i="6" l="1"/>
  <c r="E102" i="6" s="1"/>
  <c r="F102" i="6" s="1"/>
  <c r="D103" i="6" l="1"/>
  <c r="E103" i="6" s="1"/>
  <c r="F103" i="6" s="1"/>
  <c r="D104" i="6" l="1"/>
  <c r="E104" i="6" l="1"/>
  <c r="I11" i="6"/>
  <c r="I14" i="7" l="1"/>
  <c r="I12" i="6"/>
  <c r="I13" i="6" s="1"/>
  <c r="J49" i="9" s="1"/>
  <c r="F104" i="6"/>
  <c r="D105" i="6" l="1"/>
  <c r="K12" i="8"/>
  <c r="K26" i="8" s="1"/>
  <c r="I15" i="7"/>
  <c r="I16" i="7"/>
  <c r="I17" i="7" l="1"/>
  <c r="E105" i="6"/>
  <c r="F105" i="6" l="1"/>
  <c r="K13" i="8"/>
  <c r="K27" i="8" s="1"/>
  <c r="K28" i="8" s="1"/>
  <c r="K29" i="8" s="1"/>
  <c r="J16" i="9"/>
  <c r="I18" i="7"/>
  <c r="K30" i="8" l="1"/>
  <c r="J13" i="9"/>
  <c r="L41" i="2"/>
  <c r="L42" i="2" s="1"/>
  <c r="J48" i="9"/>
  <c r="J20" i="10"/>
  <c r="D106" i="6"/>
  <c r="J45" i="9" l="1"/>
  <c r="J43" i="9" s="1"/>
  <c r="J50" i="9" s="1"/>
  <c r="J51" i="9" s="1"/>
  <c r="J11" i="9"/>
  <c r="J17" i="9" s="1"/>
  <c r="J16" i="10"/>
  <c r="E106" i="6"/>
  <c r="J25" i="9" l="1"/>
  <c r="J26" i="9" s="1"/>
  <c r="J18" i="9"/>
  <c r="F106" i="6"/>
  <c r="J14" i="10"/>
  <c r="J24" i="10" s="1"/>
  <c r="J13" i="10"/>
  <c r="J21" i="10" s="1"/>
  <c r="J32" i="10" l="1"/>
  <c r="J33" i="10" s="1"/>
  <c r="J22" i="10"/>
  <c r="D107" i="6"/>
  <c r="J35" i="10"/>
  <c r="J36" i="10" s="1"/>
  <c r="J25" i="10"/>
  <c r="E107" i="6" l="1"/>
  <c r="F107" i="6" l="1"/>
  <c r="D108" i="6" l="1"/>
  <c r="E108" i="6" l="1"/>
  <c r="F108" i="6" l="1"/>
  <c r="D109" i="6" l="1"/>
  <c r="E109" i="6" l="1"/>
  <c r="F109" i="6" l="1"/>
  <c r="D110" i="6" l="1"/>
  <c r="E110" i="6" s="1"/>
  <c r="F110" i="6" s="1"/>
  <c r="D111" i="6" l="1"/>
  <c r="E111" i="6" s="1"/>
  <c r="F111" i="6"/>
  <c r="D112" i="6" l="1"/>
  <c r="E112" i="6" s="1"/>
  <c r="F112" i="6" s="1"/>
  <c r="D113" i="6" l="1"/>
  <c r="E113" i="6" s="1"/>
  <c r="F113" i="6" s="1"/>
  <c r="D114" i="6" l="1"/>
  <c r="E114" i="6" s="1"/>
  <c r="F114" i="6" s="1"/>
  <c r="F115" i="6" l="1"/>
  <c r="D115" i="6"/>
  <c r="E115" i="6" s="1"/>
  <c r="D116" i="6" l="1"/>
  <c r="E116" i="6" l="1"/>
  <c r="J11" i="6"/>
  <c r="J14" i="7" l="1"/>
  <c r="J12" i="6"/>
  <c r="J13" i="6" s="1"/>
  <c r="K49" i="9" s="1"/>
  <c r="F116" i="6"/>
  <c r="D117" i="6" l="1"/>
  <c r="L12" i="8"/>
  <c r="L26" i="8" s="1"/>
  <c r="J15" i="7"/>
  <c r="J16" i="7"/>
  <c r="E117" i="6" l="1"/>
  <c r="J17" i="7"/>
  <c r="J18" i="7"/>
  <c r="L13" i="8" l="1"/>
  <c r="L27" i="8" s="1"/>
  <c r="L28" i="8" s="1"/>
  <c r="L29" i="8" s="1"/>
  <c r="K16" i="9"/>
  <c r="F117" i="6"/>
  <c r="D118" i="6" l="1"/>
  <c r="K48" i="9"/>
  <c r="K20" i="10"/>
  <c r="K13" i="9"/>
  <c r="M41" i="2"/>
  <c r="M42" i="2" s="1"/>
  <c r="L30" i="8"/>
  <c r="K16" i="10" l="1"/>
  <c r="K11" i="9"/>
  <c r="K17" i="9" s="1"/>
  <c r="K45" i="9"/>
  <c r="K43" i="9" s="1"/>
  <c r="K50" i="9" s="1"/>
  <c r="K51" i="9" s="1"/>
  <c r="E118" i="6"/>
  <c r="K25" i="9" l="1"/>
  <c r="K26" i="9" s="1"/>
  <c r="K18" i="9"/>
  <c r="F118" i="6"/>
  <c r="K14" i="10"/>
  <c r="K24" i="10" s="1"/>
  <c r="K13" i="10"/>
  <c r="K21" i="10" s="1"/>
  <c r="D119" i="6" l="1"/>
  <c r="K32" i="10"/>
  <c r="K33" i="10" s="1"/>
  <c r="K22" i="10"/>
  <c r="K35" i="10"/>
  <c r="K36" i="10" s="1"/>
  <c r="K25" i="10"/>
  <c r="E119" i="6" l="1"/>
  <c r="F119" i="6" l="1"/>
  <c r="D120" i="6" l="1"/>
  <c r="E120" i="6" l="1"/>
  <c r="F120" i="6" l="1"/>
  <c r="D121" i="6" l="1"/>
  <c r="E121" i="6" l="1"/>
  <c r="F121" i="6" l="1"/>
  <c r="D122" i="6" l="1"/>
  <c r="E122" i="6" s="1"/>
  <c r="F122" i="6"/>
  <c r="D123" i="6" l="1"/>
  <c r="E123" i="6" s="1"/>
  <c r="F123" i="6" s="1"/>
  <c r="D124" i="6" l="1"/>
  <c r="E124" i="6" s="1"/>
  <c r="F124" i="6" s="1"/>
  <c r="D125" i="6" l="1"/>
  <c r="E125" i="6" s="1"/>
  <c r="F125" i="6" s="1"/>
  <c r="D126" i="6" l="1"/>
  <c r="E126" i="6" s="1"/>
  <c r="F126" i="6"/>
  <c r="D127" i="6" l="1"/>
  <c r="E127" i="6" s="1"/>
  <c r="F127" i="6" s="1"/>
  <c r="D128" i="6" l="1"/>
  <c r="E128" i="6" l="1"/>
  <c r="K11" i="6"/>
  <c r="K14" i="7" l="1"/>
  <c r="K12" i="6"/>
  <c r="K13" i="6" s="1"/>
  <c r="L49" i="9" s="1"/>
  <c r="F128" i="6"/>
  <c r="D129" i="6" l="1"/>
  <c r="M12" i="8"/>
  <c r="M26" i="8" s="1"/>
  <c r="K15" i="7"/>
  <c r="K16" i="7"/>
  <c r="K17" i="7" l="1"/>
  <c r="E129" i="6"/>
  <c r="F129" i="6" l="1"/>
  <c r="L16" i="9"/>
  <c r="M13" i="8"/>
  <c r="M27" i="8" s="1"/>
  <c r="M28" i="8" s="1"/>
  <c r="M29" i="8" s="1"/>
  <c r="K18" i="7"/>
  <c r="M30" i="8" l="1"/>
  <c r="L13" i="9"/>
  <c r="N41" i="2"/>
  <c r="N42" i="2" s="1"/>
  <c r="D130" i="6"/>
  <c r="L48" i="9"/>
  <c r="L20" i="10"/>
  <c r="L11" i="9" l="1"/>
  <c r="L17" i="9" s="1"/>
  <c r="L45" i="9"/>
  <c r="L43" i="9" s="1"/>
  <c r="L50" i="9" s="1"/>
  <c r="L51" i="9" s="1"/>
  <c r="L16" i="10"/>
  <c r="E130" i="6"/>
  <c r="F130" i="6" l="1"/>
  <c r="L13" i="10"/>
  <c r="L21" i="10" s="1"/>
  <c r="L14" i="10"/>
  <c r="L24" i="10" s="1"/>
  <c r="L25" i="9"/>
  <c r="L26" i="9" s="1"/>
  <c r="L18" i="9"/>
  <c r="D36" i="11"/>
  <c r="D65" i="11" s="1"/>
  <c r="L35" i="10" l="1"/>
  <c r="L36" i="10" s="1"/>
  <c r="L25" i="10"/>
  <c r="L32" i="10"/>
  <c r="L33" i="10" s="1"/>
  <c r="L22" i="10"/>
  <c r="D131" i="6"/>
  <c r="E131" i="6" l="1"/>
  <c r="F131" i="6" l="1"/>
  <c r="D132" i="6" l="1"/>
  <c r="E132" i="6" l="1"/>
  <c r="F132" i="6" l="1"/>
  <c r="D133" i="6" l="1"/>
  <c r="E133" i="6" l="1"/>
  <c r="F133" i="6" l="1"/>
  <c r="D134" i="6" l="1"/>
  <c r="E134" i="6" s="1"/>
  <c r="F134" i="6"/>
  <c r="D135" i="6" l="1"/>
  <c r="E135" i="6" s="1"/>
  <c r="F135" i="6" s="1"/>
  <c r="D136" i="6" l="1"/>
  <c r="E136" i="6" s="1"/>
  <c r="F136" i="6" s="1"/>
  <c r="D137" i="6" l="1"/>
  <c r="E137" i="6" s="1"/>
  <c r="F137" i="6" s="1"/>
  <c r="D138" i="6" l="1"/>
  <c r="E138" i="6" s="1"/>
  <c r="F138" i="6"/>
  <c r="D139" i="6" l="1"/>
  <c r="E139" i="6" s="1"/>
  <c r="F139" i="6" s="1"/>
  <c r="D140" i="6" l="1"/>
  <c r="E140" i="6" l="1"/>
  <c r="L11" i="6"/>
  <c r="L14" i="7" l="1"/>
  <c r="M11" i="6"/>
  <c r="L12" i="6"/>
  <c r="M12" i="6" s="1"/>
  <c r="F140" i="6"/>
  <c r="L13" i="6" l="1"/>
  <c r="N12" i="8"/>
  <c r="N26" i="8" s="1"/>
  <c r="L15" i="7"/>
  <c r="L16" i="7"/>
  <c r="L17" i="7" l="1"/>
  <c r="M49" i="9"/>
  <c r="M13" i="6"/>
  <c r="N13" i="8" l="1"/>
  <c r="N27" i="8" s="1"/>
  <c r="N28" i="8" s="1"/>
  <c r="N29" i="8" s="1"/>
  <c r="M16" i="9"/>
  <c r="L18" i="7"/>
  <c r="M48" i="9" l="1"/>
  <c r="M20" i="10"/>
  <c r="M10" i="9"/>
  <c r="N30" i="8"/>
  <c r="M13" i="9"/>
  <c r="O41" i="2"/>
  <c r="M42" i="9" l="1"/>
  <c r="M40" i="9" s="1"/>
  <c r="M35" i="9" s="1"/>
  <c r="M12" i="10"/>
  <c r="M10" i="10" s="1"/>
  <c r="M8" i="9"/>
  <c r="M6" i="9" s="1"/>
  <c r="Q41" i="2"/>
  <c r="Q42" i="2" s="1"/>
  <c r="O42" i="2"/>
  <c r="M16" i="10"/>
  <c r="M45" i="9"/>
  <c r="M43" i="9" s="1"/>
  <c r="M11" i="9"/>
  <c r="M13" i="10" l="1"/>
  <c r="M14" i="10"/>
  <c r="M6" i="10"/>
  <c r="M7" i="10"/>
  <c r="M21" i="10" s="1"/>
  <c r="M17" i="9"/>
  <c r="M50" i="9"/>
  <c r="M51" i="9" s="1"/>
  <c r="M25" i="9" l="1"/>
  <c r="D46" i="11" a="1"/>
  <c r="D46" i="11" s="1"/>
  <c r="D67" i="11" s="1"/>
  <c r="D51" i="11"/>
  <c r="M18" i="9"/>
  <c r="M32" i="10"/>
  <c r="C67" i="11" a="1"/>
  <c r="C67" i="11" s="1"/>
  <c r="C68" i="11"/>
  <c r="C65" i="11"/>
  <c r="M22" i="10"/>
  <c r="M24" i="10"/>
  <c r="M35" i="10" l="1"/>
  <c r="E67" i="11" a="1"/>
  <c r="E67" i="11" s="1"/>
  <c r="E68" i="11"/>
  <c r="M25" i="10"/>
  <c r="E65" i="11"/>
  <c r="N32" i="10"/>
  <c r="O32" i="10" s="1"/>
  <c r="C69" i="11"/>
  <c r="M33" i="10"/>
  <c r="G58" i="11"/>
  <c r="D68" i="11"/>
  <c r="D56" i="11"/>
  <c r="D69" i="11" s="1"/>
  <c r="H46" i="11"/>
  <c r="M26" i="9"/>
  <c r="D41" i="11"/>
  <c r="D66" i="11" s="1"/>
  <c r="C66" i="11" l="1"/>
  <c r="N33" i="10"/>
  <c r="O33" i="10" s="1"/>
  <c r="G55" i="11"/>
  <c r="G56" i="11" s="1"/>
  <c r="H55" i="11"/>
  <c r="I55" i="11"/>
  <c r="J55" i="11"/>
  <c r="K55" i="11"/>
  <c r="L55" i="11"/>
  <c r="M55" i="11"/>
  <c r="N55" i="11"/>
  <c r="O55" i="11"/>
  <c r="P55" i="11"/>
  <c r="Q55" i="11"/>
  <c r="N35" i="10"/>
  <c r="O35" i="10" s="1"/>
  <c r="E69" i="11"/>
  <c r="M36" i="10"/>
  <c r="E66" i="11" l="1"/>
  <c r="N36" i="10"/>
  <c r="O36" i="10" s="1"/>
  <c r="H56" i="11"/>
  <c r="I56" i="11" s="1"/>
  <c r="J56" i="11" s="1"/>
  <c r="K56" i="11" s="1"/>
  <c r="L56" i="11" s="1"/>
  <c r="M56" i="11" s="1"/>
  <c r="N56" i="11" s="1"/>
  <c r="O56" i="11" s="1"/>
  <c r="P56" i="11" s="1"/>
  <c r="Q56" i="11" s="1"/>
</calcChain>
</file>

<file path=xl/sharedStrings.xml><?xml version="1.0" encoding="utf-8"?>
<sst xmlns="http://schemas.openxmlformats.org/spreadsheetml/2006/main" count="772" uniqueCount="315">
  <si>
    <t>Investicijska studija pokretanja društva s ograničenom odgovornošću "KBD špedicija"</t>
  </si>
  <si>
    <t>Studiju izrađuju: 
 Zdravko Blažević - osnivač i član društva
 Antonio Dumić - osnivač i član društva
 Matko Kekez - osnivač i član društva</t>
  </si>
  <si>
    <t>1. TROŠKOVI NABAVE KAMIONA I PRIKOLICA</t>
  </si>
  <si>
    <t>Naziv troška</t>
  </si>
  <si>
    <t>Jedinična cijena</t>
  </si>
  <si>
    <t>Količina</t>
  </si>
  <si>
    <t>Mjerna jedinica</t>
  </si>
  <si>
    <t>Ukupan iznos</t>
  </si>
  <si>
    <t>Kamion tegljač Mercedes Benz Actros 2548 LS</t>
  </si>
  <si>
    <t>kom</t>
  </si>
  <si>
    <t>Otprema kamiona (Njemačka, München)</t>
  </si>
  <si>
    <t>/</t>
  </si>
  <si>
    <t>Registracija i tehnički pregled kamiona</t>
  </si>
  <si>
    <t>Kasko osiguranje vozila</t>
  </si>
  <si>
    <t>Prikolice Schwarzmüller S1 poluprikolica s pomičnim podom</t>
  </si>
  <si>
    <t>Prikolice Schmitz Cargobull Reefer Standard Double deck sa hladnjačom</t>
  </si>
  <si>
    <t>Registracija i tehnički pregled prikolica</t>
  </si>
  <si>
    <t>UKUPNO</t>
  </si>
  <si>
    <t>2. TROŠKOVI IZGRADNJE INFRASTRUKTURE (ZEMLJIŠTE, HANGAR I UREDI)</t>
  </si>
  <si>
    <t>2A. TROŠKOVI PRIKLJUČKA ZA STRUJU</t>
  </si>
  <si>
    <t>Kupnja zemljišta za izgradnju hangara i ureda - Virovitica, poduzetnička zona "Sjever"</t>
  </si>
  <si>
    <t>m2</t>
  </si>
  <si>
    <t>Rasvjeta za cestu i prilaz</t>
  </si>
  <si>
    <t>Kw</t>
  </si>
  <si>
    <t>Priključak plina</t>
  </si>
  <si>
    <t>Električna energija za urede, wc i kupaonu</t>
  </si>
  <si>
    <t>Priključak vode</t>
  </si>
  <si>
    <t>Električna energija za potrebe hangara</t>
  </si>
  <si>
    <t>Priključak kanalizacije</t>
  </si>
  <si>
    <t>Priključak struja (TABLICA 2A)</t>
  </si>
  <si>
    <t>Izgradnja hangara i ureda (TABLICA 2B)</t>
  </si>
  <si>
    <t>2B. TROŠKOVI HANGARA I UREDA</t>
  </si>
  <si>
    <t>3. TROŠKOVI OPREMANJA INFRASTRUKTURE (NAMJEŠTAJ, UREDSKA I INFORMATIČKA OPREMA)</t>
  </si>
  <si>
    <t>Građevinska dozvola i popratna dokumentacija</t>
  </si>
  <si>
    <t>Projektiranje objekta (građevinski nacrti, planiranje materijala, broja radnika...)</t>
  </si>
  <si>
    <t xml:space="preserve">Stup rasvjetni cijevni konusni ORS-CK1-5m (bez tem.vijaka) </t>
  </si>
  <si>
    <t>Automehaničarski set (ključevi, akumulatorski alat, dizalice)</t>
  </si>
  <si>
    <t xml:space="preserve">Izgradnja hangara za 10 kamiona i 13 prikolica </t>
  </si>
  <si>
    <t>Uređaj za izmjenu guma ms 530 s Beissbarth</t>
  </si>
  <si>
    <t>Asfaltiranje prilaza</t>
  </si>
  <si>
    <t>Radijator pločasti bočni Compact 22K, 600x 500 mm, 1052W</t>
  </si>
  <si>
    <t>Podloga za prilaz (tucanik)</t>
  </si>
  <si>
    <t>m3</t>
  </si>
  <si>
    <t>Brilla wc školjka viseća s kabinom</t>
  </si>
  <si>
    <t>Betonska ploča</t>
  </si>
  <si>
    <t xml:space="preserve">Pisoar Concepto Presi </t>
  </si>
  <si>
    <t>Armaturna mreža</t>
  </si>
  <si>
    <t xml:space="preserve">Corniche Kutna tuš kabina Light </t>
  </si>
  <si>
    <t>Izgradnja 3 ureda s wc-om i čajnom kuhinjom (u cijenu uključeno postavljanje podova, keramike, električne, plinovodne i vodovodne instalacije, žbuka, farbanje, unutarnja rasvjeta i svi popratni troškovi instalacije namještaja i infrastrukture)</t>
  </si>
  <si>
    <t>Kupaonski namještaj Sarasota 108 (Bodega)</t>
  </si>
  <si>
    <t>set</t>
  </si>
  <si>
    <t>Respekta Kuhinjski komplet Cuisine (kuhinjski uređaji uključeni)</t>
  </si>
  <si>
    <t>Namještaj (uredski namještaj "optimal" Svijet namještaja)</t>
  </si>
  <si>
    <t xml:space="preserve">Multifunkcijski Fotokopirni uređaj iR2224iF sa DADF </t>
  </si>
  <si>
    <t>4. TROŠKOVI RAČUNALNE OPREME</t>
  </si>
  <si>
    <t>Stolno računalo HGPC Office Prime 1218S5ND, Intel Core i3 12100, 8 GB, Intel UHD 730, SSD 500 GB NVMe, FreeDOS</t>
  </si>
  <si>
    <t xml:space="preserve">Usmjerivač Cudy WR1200, AC1200, Dual band 2.4GHz/5GHz, 1×WAN, 4×LAN </t>
  </si>
  <si>
    <t>Monitor 24'' Tesla 24MC635BF, IPS, FHD</t>
  </si>
  <si>
    <t>Set tipkovnica + miš + zvučnici GENIUS KMS-U130</t>
  </si>
  <si>
    <t>5. TROŠKOVI OSNIVANJA D.O.O.</t>
  </si>
  <si>
    <t>*uplata dijela početnog kapitala nije prikazana u tablici iako je u postupku osnivanja potrebno uplatiti minimalno 630 eura, taj iznos je sadržan u vrijednosti kamiona</t>
  </si>
  <si>
    <t>Ovjera javnog bilježnika</t>
  </si>
  <si>
    <t>Uplata pristojbe</t>
  </si>
  <si>
    <t>Uplate oglasa u Narodnim novinama</t>
  </si>
  <si>
    <t>Rješenje o upisu u sudski registar</t>
  </si>
  <si>
    <t>Izrada pečati po preuzimanju obavijesti o razvrstavanju poslovnog subjekta prema NKD-u 2007.</t>
  </si>
  <si>
    <t>6. UKUPNI IZNOS INVESTICIJE</t>
  </si>
  <si>
    <t>UKUPAN IZNOS</t>
  </si>
  <si>
    <t>STRUKTURA ULAGANJA</t>
  </si>
  <si>
    <t>Opis</t>
  </si>
  <si>
    <t>Iznos</t>
  </si>
  <si>
    <t>Vlastita sredstva</t>
  </si>
  <si>
    <t>Kredit</t>
  </si>
  <si>
    <t>Udio sredstva u ukupnoj investiciji</t>
  </si>
  <si>
    <t>A. Ulaganje u osnovna sredstva</t>
  </si>
  <si>
    <t>Nabava kamiona i prikolice</t>
  </si>
  <si>
    <t>Izgradnja infrastrukture</t>
  </si>
  <si>
    <t>Oprema infrastrukture (namještaj, sanitarije)</t>
  </si>
  <si>
    <t>Informatička oprema</t>
  </si>
  <si>
    <t>Troškovi osnivanja</t>
  </si>
  <si>
    <t>B. Ulaganje u trajna obrtna sredstva</t>
  </si>
  <si>
    <t>C. Ukupni iznos ulaganja</t>
  </si>
  <si>
    <t>Odnos vlastitog i tuđeg financiranja</t>
  </si>
  <si>
    <t>OBRAČUN AMORTIZACIJE</t>
  </si>
  <si>
    <t>%</t>
  </si>
  <si>
    <t>Amortizacija</t>
  </si>
  <si>
    <t>Transportna imovina (tegljači, kamioni, hladnjače i priključna transportna sredstva)</t>
  </si>
  <si>
    <t>Nekretnine (hangar, uredi, prilaz, zemljište, rasvjetni stupovi )</t>
  </si>
  <si>
    <t>Računala i računalni programi</t>
  </si>
  <si>
    <t>Oprema, alat, invertar, namještaj</t>
  </si>
  <si>
    <t>Nematerijalna imovina (osnivački troškovi)</t>
  </si>
  <si>
    <t>UKUPAN IZNOS AMORTIZACIJE</t>
  </si>
  <si>
    <t>OBRAČUN OVP</t>
  </si>
  <si>
    <t>Br.</t>
  </si>
  <si>
    <t>Naziv</t>
  </si>
  <si>
    <t>Nabavna 
vrijednost</t>
  </si>
  <si>
    <t>Stopa
otpisa</t>
  </si>
  <si>
    <t>Godina</t>
  </si>
  <si>
    <t>Ispravljena vrijednost</t>
  </si>
  <si>
    <t>Ostatak vrijednosti</t>
  </si>
  <si>
    <t>A</t>
  </si>
  <si>
    <t>Investicija</t>
  </si>
  <si>
    <t>B Sveukupno</t>
  </si>
  <si>
    <t>C Ostatak vrijednosti projekta</t>
  </si>
  <si>
    <t xml:space="preserve">    1 Osnovna sredstva</t>
  </si>
  <si>
    <t xml:space="preserve">    2 TOBS</t>
  </si>
  <si>
    <t>PRIHODI KROZ GODINE RADA PROJEKTA</t>
  </si>
  <si>
    <t>GODINA</t>
  </si>
  <si>
    <t>UKUPNI PRIHODI</t>
  </si>
  <si>
    <t>Broj dana u mjesecu</t>
  </si>
  <si>
    <t>Mjeseci u godini</t>
  </si>
  <si>
    <t>2025. GODINA</t>
  </si>
  <si>
    <t>Kalkulacija prihoda transporta robe unutar granica RH  2025.</t>
  </si>
  <si>
    <t>Usluga</t>
  </si>
  <si>
    <t>Jedinica mjere</t>
  </si>
  <si>
    <t>Ukupni mjesečni prihod</t>
  </si>
  <si>
    <t>Ukupni godišnji prihod</t>
  </si>
  <si>
    <t>Procjenjen broj produktivnih kamiona dnevno (na temelju pretpostavke o potražnji za našim uslugama)</t>
  </si>
  <si>
    <t>Prosječna brzina kamiona na cestama u RH 
Kilometar/sat</t>
  </si>
  <si>
    <t>Radno vrijeme vozača
u satima</t>
  </si>
  <si>
    <t>Procjenjena ukupna prjeđena kilometraža dnevno za jedan kamion</t>
  </si>
  <si>
    <t>Procjenjena ukupna prijeđena kilometraža svih kamiona dnevno</t>
  </si>
  <si>
    <t>Procjenjena ukupna prijeđena kilometraža svih kamiona mjesečno</t>
  </si>
  <si>
    <t xml:space="preserve">Transport robe (unutar granica RH)  </t>
  </si>
  <si>
    <t>€ / km</t>
  </si>
  <si>
    <t>2026. GODINA</t>
  </si>
  <si>
    <t>Kalkulacija prihoda transporta robe unutar granica RH  2026.</t>
  </si>
  <si>
    <t>2027. GODINA</t>
  </si>
  <si>
    <t>Kalkulacija prihoda transporta robe unutar granica RH 2027.</t>
  </si>
  <si>
    <t>2028. GODINA</t>
  </si>
  <si>
    <t>Kalkulacija prihoda transporta robe unutar granica RH 2028.</t>
  </si>
  <si>
    <t>2029. GODINA</t>
  </si>
  <si>
    <t>Kalkulacija prihoda transporta robe unutar granica RH 2029.</t>
  </si>
  <si>
    <t>2030. - 2034. GODINA</t>
  </si>
  <si>
    <t>Kalkulacija prihoda transporta robe unutar granica RH 2030. - 2034.</t>
  </si>
  <si>
    <t>RASHODI KROZ GODINE RADA PROJEKTA</t>
  </si>
  <si>
    <t>Trošak goriva za teretna vozila</t>
  </si>
  <si>
    <t xml:space="preserve">Trošak registracije, tehničkog pregleda, osiguranja i servisa teretnih i priključnih vozila </t>
  </si>
  <si>
    <t>Troškovi autoguma (za teretna i priključna vozila)</t>
  </si>
  <si>
    <t>Mazut i motorna ulja</t>
  </si>
  <si>
    <t>Potrošena energija u administraciji, upravi, prodaji</t>
  </si>
  <si>
    <t>Uredski materijal</t>
  </si>
  <si>
    <t>UKUPNI RASHODI</t>
  </si>
  <si>
    <t xml:space="preserve">Kalkulacija troška goriva za transport robe unutar granica RH  2025. </t>
  </si>
  <si>
    <t>Ukupni mjesečni trošak</t>
  </si>
  <si>
    <t>Ukupni godišnji trošak</t>
  </si>
  <si>
    <t>Prosječna potrošnja nabavljenih kamiona s maksimalnim kapacitetom popunjenosti prikolice 
L/100 km</t>
  </si>
  <si>
    <t>Medijan cijene dizela za "INA – Industrija nafte d.d." na dan 2.2.2024. bez PDV-a (trošarine uključene)</t>
  </si>
  <si>
    <t>Ukupna mjesečna potrošnja litara svih kamiona
L</t>
  </si>
  <si>
    <t>Procjenjen ukupni mjesečni trošak goriva svih kamiona</t>
  </si>
  <si>
    <t>L</t>
  </si>
  <si>
    <t>Registracija i tehnički pregled kamiona i prikolice</t>
  </si>
  <si>
    <t>Kom</t>
  </si>
  <si>
    <t>Registracija i tehnički pregled prikolice</t>
  </si>
  <si>
    <t>Kasko osiguranje kamiona</t>
  </si>
  <si>
    <t>Ulje, podmazivači</t>
  </si>
  <si>
    <t>100 Km</t>
  </si>
  <si>
    <t>Punjenje addBlue tekućine</t>
  </si>
  <si>
    <t>Gume: prednje i pogonske osovine</t>
  </si>
  <si>
    <t>Gume prikolica</t>
  </si>
  <si>
    <t>Troškovi električne energija</t>
  </si>
  <si>
    <t>kWh</t>
  </si>
  <si>
    <t>Trošak vode i odvodnje</t>
  </si>
  <si>
    <t>Trošak plina</t>
  </si>
  <si>
    <t>Trošak uredskog materijala</t>
  </si>
  <si>
    <t xml:space="preserve">Kalkulacija troška goriva za transport robe unutar granica RH  2026. </t>
  </si>
  <si>
    <t>Najviša cijena goriva u RH u posljednjih 10 godina (najgori mogući scenarij)</t>
  </si>
  <si>
    <t xml:space="preserve">Kalkulacija troška goriva za transport robe unutar granica RH  2027. </t>
  </si>
  <si>
    <t xml:space="preserve">Kalkulacija troška goriva za transport robe unutar granica RH  2028. </t>
  </si>
  <si>
    <t xml:space="preserve">Kalkulacija troška goriva za transport robe unutar granica RH  2029. </t>
  </si>
  <si>
    <t>2030. - 2034 GODINA</t>
  </si>
  <si>
    <t xml:space="preserve">Kalkulacija troška goriva za transport robe unutar granica RH  2030.-2034. </t>
  </si>
  <si>
    <t>Popravak i servis vozila</t>
  </si>
  <si>
    <t>OBRAČUN PLAĆA</t>
  </si>
  <si>
    <t>Plaća nositelja društva</t>
  </si>
  <si>
    <t>Plaća vozača kamiona</t>
  </si>
  <si>
    <t>Bruto plaća</t>
  </si>
  <si>
    <t>I. stupanj mirovinskog osiguranja</t>
  </si>
  <si>
    <t>II. stupanj mirovinskog osiguranja</t>
  </si>
  <si>
    <t>Dohodak</t>
  </si>
  <si>
    <t>Osobni odbitak</t>
  </si>
  <si>
    <t>Porezna osnovica</t>
  </si>
  <si>
    <t>Porez na dohodak</t>
  </si>
  <si>
    <t>Doprinos za zdravstveno osiguranje</t>
  </si>
  <si>
    <t>Neto plaća</t>
  </si>
  <si>
    <t>UKUPNI TROŠAK PLAĆE</t>
  </si>
  <si>
    <t>GODIŠNJE PLAĆE ZAPOSLENIKA</t>
  </si>
  <si>
    <t>BROJ VOZAČA KAMIONA</t>
  </si>
  <si>
    <t>BROJ ZAPOSLENIKA ADMINISTRACIJE</t>
  </si>
  <si>
    <t>MJESEČNI TROŠAK PLAĆA</t>
  </si>
  <si>
    <t>GODIŠNJI TROŠAK PLAĆA</t>
  </si>
  <si>
    <t>Visina kredita</t>
  </si>
  <si>
    <t>Broj anuiteta</t>
  </si>
  <si>
    <t>Godišnja kamatna stopa</t>
  </si>
  <si>
    <t>Broj ukamaćivanja godišnje</t>
  </si>
  <si>
    <t>Relativna kamatna stopa</t>
  </si>
  <si>
    <t>VISINA ANUITETA</t>
  </si>
  <si>
    <t>GODINE</t>
  </si>
  <si>
    <t>Kamate</t>
  </si>
  <si>
    <t>Otplata</t>
  </si>
  <si>
    <t>OTPLATNA TABLICA</t>
  </si>
  <si>
    <t>Razdoblje</t>
  </si>
  <si>
    <t>Anuitet</t>
  </si>
  <si>
    <t>Otplatna Kvota</t>
  </si>
  <si>
    <t>Ostatak kredita</t>
  </si>
  <si>
    <t>RAČUN DOBITI I GUBITKA</t>
  </si>
  <si>
    <t>OPIS</t>
  </si>
  <si>
    <t>Ukupni prihodi</t>
  </si>
  <si>
    <t>Prihodi od pruženih transportnih i špeditorskih usluga</t>
  </si>
  <si>
    <t>Operativni rashodi</t>
  </si>
  <si>
    <t>Trošak sirovina i materijala</t>
  </si>
  <si>
    <t>Energija</t>
  </si>
  <si>
    <t>Ostali troškovi</t>
  </si>
  <si>
    <t>Trošak plaća</t>
  </si>
  <si>
    <t>EBITDA</t>
  </si>
  <si>
    <t>Ukupni rashodi</t>
  </si>
  <si>
    <t>Bruto dobit/gubitak</t>
  </si>
  <si>
    <t>Porez</t>
  </si>
  <si>
    <t>NETO DOBIT/GUBITAK</t>
  </si>
  <si>
    <t>Porez na dobit</t>
  </si>
  <si>
    <t>POTREBAN TOBS</t>
  </si>
  <si>
    <t>Stavka</t>
  </si>
  <si>
    <t>DV</t>
  </si>
  <si>
    <t>KO</t>
  </si>
  <si>
    <t xml:space="preserve">Ukupna svota </t>
  </si>
  <si>
    <t>Zalihe sirovina i materijala</t>
  </si>
  <si>
    <t>Potraživanja od kupaca</t>
  </si>
  <si>
    <t>Novac u banci i blagajni</t>
  </si>
  <si>
    <t>Dobavljači</t>
  </si>
  <si>
    <t>Troškovi osoblja</t>
  </si>
  <si>
    <t>Rashodi financiranja</t>
  </si>
  <si>
    <t xml:space="preserve">Potreban iznos </t>
  </si>
  <si>
    <t>Ukupno potrebna sredstva</t>
  </si>
  <si>
    <t>Izvori financiranja iz poslovanja</t>
  </si>
  <si>
    <t>Trajna obrtna sredstva</t>
  </si>
  <si>
    <t>Investicije u TOBS</t>
  </si>
  <si>
    <t>EKONOMSKI TOK</t>
  </si>
  <si>
    <t>I PRIMICI</t>
  </si>
  <si>
    <t>1. Ukupni prihod</t>
  </si>
  <si>
    <t>2. Ostatak vrijednosti projekta</t>
  </si>
  <si>
    <t>2.1. Osnovnih sredstava</t>
  </si>
  <si>
    <t>2.2. Obrtnih sredstava</t>
  </si>
  <si>
    <t>II IZDACI</t>
  </si>
  <si>
    <t>3. Angažirana OS</t>
  </si>
  <si>
    <t>4. Angažirana TOBS</t>
  </si>
  <si>
    <t>5. Troškovi održavanja i usluga</t>
  </si>
  <si>
    <t>6. Izdaci za osoblje</t>
  </si>
  <si>
    <t>7. Porezi</t>
  </si>
  <si>
    <t>III NETO PRIMICI</t>
  </si>
  <si>
    <t>IV KUMULATIVNI NETO PRIMITCI</t>
  </si>
  <si>
    <t>IZRAČUN DISKONTIRANOG RAZDOBLJA POVRATA ULOŽENIH SREDSTAVA</t>
  </si>
  <si>
    <t>DNT</t>
  </si>
  <si>
    <t>KOMULATIV DNT</t>
  </si>
  <si>
    <t>Diskontna stopa</t>
  </si>
  <si>
    <t>FINANCIJSKI TOK</t>
  </si>
  <si>
    <t>2. Izvori financiranja</t>
  </si>
  <si>
    <t>2.1. Vlastito ulaganje</t>
  </si>
  <si>
    <t>2.2. Kredit</t>
  </si>
  <si>
    <t>3. Ostatak vrijednosti projekta</t>
  </si>
  <si>
    <t>3.1. Osnovnih sredstava</t>
  </si>
  <si>
    <t>3.2. Obrtnih sredstava</t>
  </si>
  <si>
    <t>4. Investicije u OS</t>
  </si>
  <si>
    <t>5. Investicije u TOBS</t>
  </si>
  <si>
    <t>6. Troškovi održavanja i usluga</t>
  </si>
  <si>
    <t>7. Izdaci za osoblje</t>
  </si>
  <si>
    <t>8. Porezi</t>
  </si>
  <si>
    <t>9. Otplata (glavnica + kamate)</t>
  </si>
  <si>
    <t>EKONOMSKI TOK PRILIKOM PROMJENE ULAZNIH VARIJABLI - ANALIZA OSJETLJIVOSTI</t>
  </si>
  <si>
    <t>I PRIMICI (-5% PRIHODI)</t>
  </si>
  <si>
    <t xml:space="preserve">1. Ukupni prihod </t>
  </si>
  <si>
    <t>1. Ukupni prihod (-5%)</t>
  </si>
  <si>
    <t>II IZDACI (+5% TROŠKOVI)</t>
  </si>
  <si>
    <t>5. Troškovi održavanja i usluga (+5%)</t>
  </si>
  <si>
    <t>III NETO PRIMICI (-5% PRIHODI)</t>
  </si>
  <si>
    <t>IV KUMULATIVNI NETO PRIMITCI (-5% PRIHODI)</t>
  </si>
  <si>
    <t>III NETO PRIMICI (+5% TROŠKOVI)</t>
  </si>
  <si>
    <t>IV KUMULATIVNI NETO PRIMITCI (+5% TROŠKOVI)</t>
  </si>
  <si>
    <t>IZRAČUN DISKONTIRANOG RAZDOBLJA POVRATA ULOŽENIH SREDSTAVA - ANALIZA OSJETLJIVOSTI</t>
  </si>
  <si>
    <t>DNT (-5 % PRIHODI)</t>
  </si>
  <si>
    <t>KUMULATIV DNT (-5% PRIHODI)</t>
  </si>
  <si>
    <t>DNT (+5% TROŠKOVI)</t>
  </si>
  <si>
    <t>KOMULATIV DNT (+5% TROŠKOVI)</t>
  </si>
  <si>
    <t>STATIČKA OCJENA ZA 2030. GODINU</t>
  </si>
  <si>
    <t>POKAZATELJI EKONOMIČNOSTI</t>
  </si>
  <si>
    <t>Ekonomičnost ukupnog poslovanja</t>
  </si>
  <si>
    <t>POKAZATELJI PROFITABILNOSTI</t>
  </si>
  <si>
    <t>Neto profitna marža</t>
  </si>
  <si>
    <t>Neto dobit</t>
  </si>
  <si>
    <t>POKAZATELJI VEZANI UZ INVESTICIJU</t>
  </si>
  <si>
    <t>Rentabilnost ukupno uloženih sredstava</t>
  </si>
  <si>
    <t>Visina investicije</t>
  </si>
  <si>
    <t>Obrtaj ukupno uloženih sredstava</t>
  </si>
  <si>
    <t>Reprodukcijska sposobnost</t>
  </si>
  <si>
    <t>Neto dobit + amortizacija</t>
  </si>
  <si>
    <t>POKAZATELJI VEZANI UZ RAD</t>
  </si>
  <si>
    <t>Investicijsko opterećenje po zaposlenom</t>
  </si>
  <si>
    <t>Broj zaposlenih</t>
  </si>
  <si>
    <t>DINAMIČKA OCJENA</t>
  </si>
  <si>
    <t>VRIJEME POVRATA (VP)</t>
  </si>
  <si>
    <t>VP</t>
  </si>
  <si>
    <t>DISKONTIRANO VRIJEME POVRATA (DVP)</t>
  </si>
  <si>
    <t>DVP</t>
  </si>
  <si>
    <t>NETO SADAŠNJA VRIJEDNOSTI (NSV)</t>
  </si>
  <si>
    <t>PROVJERA NETO SADAŠNJE VRIJEDNOSTI (NSV)</t>
  </si>
  <si>
    <t>NSV</t>
  </si>
  <si>
    <t>INTERNA STOPA RENTABILNOSTI (ISR)</t>
  </si>
  <si>
    <t>ISR</t>
  </si>
  <si>
    <t>PROVJERA INTERNE STOPE RENTABILNOSTI</t>
  </si>
  <si>
    <t>INDEKS PROFITABILNOSTI (IP)</t>
  </si>
  <si>
    <t>IP</t>
  </si>
  <si>
    <t>ANALIZA OSJETLJIVOSTI</t>
  </si>
  <si>
    <t>Scenarij promjena</t>
  </si>
  <si>
    <t>Smanjenje prihoda za 5%</t>
  </si>
  <si>
    <t>Osnovna situacija</t>
  </si>
  <si>
    <t>Porast troškova za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</si>
</sst>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[$€]"/>
    <numFmt numFmtId="165" formatCode="#,##0.00&quot;€&quot;"/>
    <numFmt numFmtId="166" formatCode="#,##0.000"/>
  </numFmts>
  <fonts count="19">
    <font>
      <sz val="11"/>
      <color theme="1"/>
      <name val="Calibri"/>
      <scheme val="minor"/>
    </font>
    <font>
      <sz val="11"/>
      <color rgb="FF000000"/>
      <name val="Calibri"/>
    </font>
    <font>
      <b/>
      <sz val="17"/>
      <color rgb="FF000000"/>
      <name val="Calibri"/>
    </font>
    <font>
      <sz val="11"/>
      <name val="Calibri"/>
    </font>
    <font>
      <sz val="11"/>
      <color theme="1"/>
      <name val="Calibri"/>
    </font>
    <font>
      <b/>
      <sz val="11"/>
      <color rgb="FF000000"/>
      <name val="Calibri"/>
    </font>
    <font>
      <b/>
      <sz val="17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b/>
      <sz val="17"/>
      <color theme="1"/>
      <name val="Calibri"/>
      <scheme val="minor"/>
    </font>
    <font>
      <sz val="11"/>
      <color rgb="FF000000"/>
      <name val="&quot;docs-Calibri&quot;"/>
    </font>
    <font>
      <sz val="11"/>
      <color rgb="FF000000"/>
      <name val="Calibri"/>
    </font>
    <font>
      <b/>
      <sz val="22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scheme val="minor"/>
    </font>
    <font>
      <b/>
      <sz val="13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5B9BD5"/>
        <bgColor rgb="FF5B9BD5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4">
    <xf numFmtId="0" fontId="0" fillId="0" borderId="0" xfId="0"/>
    <xf numFmtId="0" fontId="1" fillId="0" borderId="0" xfId="0" applyFont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left" vertical="center" wrapText="1"/>
    </xf>
    <xf numFmtId="164" fontId="1" fillId="5" borderId="8" xfId="0" applyNumberFormat="1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left" vertical="center"/>
    </xf>
    <xf numFmtId="164" fontId="4" fillId="5" borderId="9" xfId="0" applyNumberFormat="1" applyFont="1" applyFill="1" applyBorder="1" applyAlignment="1">
      <alignment vertical="center"/>
    </xf>
    <xf numFmtId="0" fontId="1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vertical="center" wrapText="1"/>
    </xf>
    <xf numFmtId="164" fontId="1" fillId="5" borderId="5" xfId="0" applyNumberFormat="1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left"/>
    </xf>
    <xf numFmtId="164" fontId="5" fillId="4" borderId="10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4" borderId="9" xfId="0" applyFont="1" applyFill="1" applyBorder="1" applyAlignment="1">
      <alignment horizontal="left" vertical="center" wrapText="1"/>
    </xf>
    <xf numFmtId="164" fontId="1" fillId="5" borderId="9" xfId="0" applyNumberFormat="1" applyFont="1" applyFill="1" applyBorder="1" applyAlignment="1">
      <alignment horizontal="right" vertical="center"/>
    </xf>
    <xf numFmtId="0" fontId="1" fillId="5" borderId="9" xfId="0" applyFont="1" applyFill="1" applyBorder="1" applyAlignment="1">
      <alignment horizontal="right" vertical="center"/>
    </xf>
    <xf numFmtId="0" fontId="1" fillId="5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164" fontId="5" fillId="4" borderId="10" xfId="0" applyNumberFormat="1" applyFont="1" applyFill="1" applyBorder="1"/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64" fontId="1" fillId="5" borderId="11" xfId="0" applyNumberFormat="1" applyFont="1" applyFill="1" applyBorder="1" applyAlignment="1">
      <alignment horizontal="right" vertical="center"/>
    </xf>
    <xf numFmtId="0" fontId="1" fillId="5" borderId="11" xfId="0" applyFont="1" applyFill="1" applyBorder="1" applyAlignment="1">
      <alignment horizontal="right" vertical="center"/>
    </xf>
    <xf numFmtId="0" fontId="1" fillId="5" borderId="11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wrapText="1"/>
    </xf>
    <xf numFmtId="164" fontId="4" fillId="5" borderId="9" xfId="0" applyNumberFormat="1" applyFont="1" applyFill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4" fillId="5" borderId="9" xfId="0" applyFont="1" applyFill="1" applyBorder="1"/>
    <xf numFmtId="164" fontId="5" fillId="4" borderId="9" xfId="0" applyNumberFormat="1" applyFont="1" applyFill="1" applyBorder="1"/>
    <xf numFmtId="164" fontId="1" fillId="5" borderId="9" xfId="0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1" fillId="3" borderId="1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4" borderId="9" xfId="0" applyFont="1" applyFill="1" applyBorder="1"/>
    <xf numFmtId="0" fontId="4" fillId="6" borderId="9" xfId="0" applyFont="1" applyFill="1" applyBorder="1" applyAlignment="1">
      <alignment horizontal="center"/>
    </xf>
    <xf numFmtId="0" fontId="4" fillId="0" borderId="9" xfId="0" applyFont="1" applyBorder="1"/>
    <xf numFmtId="164" fontId="4" fillId="0" borderId="9" xfId="0" applyNumberFormat="1" applyFont="1" applyBorder="1"/>
    <xf numFmtId="0" fontId="4" fillId="4" borderId="9" xfId="0" applyFont="1" applyFill="1" applyBorder="1"/>
    <xf numFmtId="0" fontId="4" fillId="4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 wrapText="1"/>
    </xf>
    <xf numFmtId="164" fontId="4" fillId="0" borderId="9" xfId="0" applyNumberFormat="1" applyFont="1" applyBorder="1" applyAlignment="1">
      <alignment vertical="center"/>
    </xf>
    <xf numFmtId="164" fontId="9" fillId="4" borderId="9" xfId="0" applyNumberFormat="1" applyFont="1" applyFill="1" applyBorder="1"/>
    <xf numFmtId="10" fontId="8" fillId="0" borderId="9" xfId="0" applyNumberFormat="1" applyFont="1" applyBorder="1"/>
    <xf numFmtId="0" fontId="4" fillId="6" borderId="2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right" vertical="center"/>
    </xf>
    <xf numFmtId="9" fontId="4" fillId="0" borderId="9" xfId="0" applyNumberFormat="1" applyFont="1" applyBorder="1" applyAlignment="1">
      <alignment vertical="center"/>
    </xf>
    <xf numFmtId="9" fontId="4" fillId="5" borderId="9" xfId="0" applyNumberFormat="1" applyFont="1" applyFill="1" applyBorder="1" applyAlignment="1">
      <alignment vertical="center"/>
    </xf>
    <xf numFmtId="164" fontId="9" fillId="4" borderId="9" xfId="0" applyNumberFormat="1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horizontal="center" vertical="center"/>
    </xf>
    <xf numFmtId="0" fontId="9" fillId="4" borderId="9" xfId="0" applyFont="1" applyFill="1" applyBorder="1"/>
    <xf numFmtId="164" fontId="9" fillId="0" borderId="9" xfId="0" applyNumberFormat="1" applyFont="1" applyBorder="1"/>
    <xf numFmtId="164" fontId="9" fillId="0" borderId="9" xfId="0" applyNumberFormat="1" applyFont="1" applyBorder="1" applyAlignment="1">
      <alignment vertical="center"/>
    </xf>
    <xf numFmtId="0" fontId="9" fillId="0" borderId="0" xfId="0" applyFont="1"/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0" fontId="10" fillId="4" borderId="9" xfId="0" applyFont="1" applyFill="1" applyBorder="1"/>
    <xf numFmtId="164" fontId="10" fillId="0" borderId="9" xfId="0" applyNumberFormat="1" applyFont="1" applyBorder="1"/>
    <xf numFmtId="164" fontId="9" fillId="5" borderId="9" xfId="0" applyNumberFormat="1" applyFont="1" applyFill="1" applyBorder="1"/>
    <xf numFmtId="0" fontId="0" fillId="4" borderId="9" xfId="0" applyFill="1" applyBorder="1"/>
    <xf numFmtId="0" fontId="0" fillId="5" borderId="9" xfId="0" applyFill="1" applyBorder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vertical="center" wrapText="1"/>
    </xf>
    <xf numFmtId="164" fontId="4" fillId="0" borderId="9" xfId="0" applyNumberFormat="1" applyFont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5" borderId="0" xfId="0" applyFont="1" applyFill="1"/>
    <xf numFmtId="0" fontId="4" fillId="0" borderId="0" xfId="0" applyFont="1"/>
    <xf numFmtId="164" fontId="4" fillId="0" borderId="0" xfId="0" applyNumberFormat="1" applyFont="1"/>
    <xf numFmtId="0" fontId="0" fillId="5" borderId="0" xfId="0" applyFill="1"/>
    <xf numFmtId="164" fontId="0" fillId="0" borderId="9" xfId="0" applyNumberFormat="1" applyBorder="1"/>
    <xf numFmtId="164" fontId="4" fillId="5" borderId="9" xfId="0" applyNumberFormat="1" applyFont="1" applyFill="1" applyBorder="1"/>
    <xf numFmtId="0" fontId="0" fillId="4" borderId="9" xfId="0" applyFill="1" applyBorder="1" applyAlignment="1">
      <alignment wrapText="1"/>
    </xf>
    <xf numFmtId="164" fontId="10" fillId="4" borderId="9" xfId="0" applyNumberFormat="1" applyFont="1" applyFill="1" applyBorder="1"/>
    <xf numFmtId="0" fontId="0" fillId="0" borderId="0" xfId="0" applyAlignment="1">
      <alignment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1" fontId="4" fillId="0" borderId="9" xfId="0" applyNumberFormat="1" applyFont="1" applyBorder="1" applyAlignment="1">
      <alignment vertical="center"/>
    </xf>
    <xf numFmtId="165" fontId="0" fillId="5" borderId="9" xfId="0" applyNumberFormat="1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 wrapText="1"/>
    </xf>
    <xf numFmtId="165" fontId="10" fillId="5" borderId="9" xfId="0" applyNumberFormat="1" applyFont="1" applyFill="1" applyBorder="1" applyAlignment="1">
      <alignment vertical="center"/>
    </xf>
    <xf numFmtId="0" fontId="10" fillId="0" borderId="0" xfId="0" applyFont="1"/>
    <xf numFmtId="0" fontId="12" fillId="6" borderId="11" xfId="0" applyFont="1" applyFill="1" applyBorder="1" applyAlignment="1">
      <alignment horizontal="center" vertical="center" wrapText="1"/>
    </xf>
    <xf numFmtId="0" fontId="1" fillId="6" borderId="9" xfId="0" applyFont="1" applyFill="1" applyBorder="1"/>
    <xf numFmtId="0" fontId="1" fillId="4" borderId="9" xfId="0" applyFont="1" applyFill="1" applyBorder="1"/>
    <xf numFmtId="164" fontId="5" fillId="4" borderId="9" xfId="0" applyNumberFormat="1" applyFont="1" applyFill="1" applyBorder="1" applyAlignment="1">
      <alignment horizontal="right"/>
    </xf>
    <xf numFmtId="0" fontId="0" fillId="0" borderId="9" xfId="0" applyBorder="1"/>
    <xf numFmtId="10" fontId="0" fillId="0" borderId="9" xfId="0" applyNumberFormat="1" applyBorder="1"/>
    <xf numFmtId="164" fontId="7" fillId="0" borderId="9" xfId="0" applyNumberFormat="1" applyFont="1" applyBorder="1"/>
    <xf numFmtId="0" fontId="8" fillId="4" borderId="9" xfId="0" applyFont="1" applyFill="1" applyBorder="1"/>
    <xf numFmtId="164" fontId="8" fillId="4" borderId="9" xfId="0" applyNumberFormat="1" applyFont="1" applyFill="1" applyBorder="1"/>
    <xf numFmtId="10" fontId="1" fillId="4" borderId="9" xfId="0" applyNumberFormat="1" applyFont="1" applyFill="1" applyBorder="1"/>
    <xf numFmtId="0" fontId="4" fillId="6" borderId="27" xfId="0" applyFont="1" applyFill="1" applyBorder="1"/>
    <xf numFmtId="0" fontId="4" fillId="6" borderId="1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wrapText="1"/>
    </xf>
    <xf numFmtId="0" fontId="1" fillId="4" borderId="9" xfId="0" applyFont="1" applyFill="1" applyBorder="1" applyAlignment="1">
      <alignment horizontal="left"/>
    </xf>
    <xf numFmtId="164" fontId="4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0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10" fontId="4" fillId="0" borderId="9" xfId="0" applyNumberFormat="1" applyFont="1" applyBorder="1" applyAlignment="1">
      <alignment horizontal="center"/>
    </xf>
    <xf numFmtId="164" fontId="5" fillId="4" borderId="9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6" borderId="9" xfId="0" applyFont="1" applyFill="1" applyBorder="1"/>
    <xf numFmtId="0" fontId="5" fillId="6" borderId="28" xfId="0" applyFont="1" applyFill="1" applyBorder="1" applyAlignment="1">
      <alignment horizontal="center"/>
    </xf>
    <xf numFmtId="0" fontId="1" fillId="4" borderId="22" xfId="0" applyFont="1" applyFill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0" fontId="5" fillId="4" borderId="22" xfId="0" applyFont="1" applyFill="1" applyBorder="1"/>
    <xf numFmtId="164" fontId="5" fillId="4" borderId="29" xfId="0" applyNumberFormat="1" applyFont="1" applyFill="1" applyBorder="1"/>
    <xf numFmtId="0" fontId="15" fillId="6" borderId="22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5" borderId="29" xfId="0" applyFont="1" applyFill="1" applyBorder="1"/>
    <xf numFmtId="164" fontId="1" fillId="7" borderId="29" xfId="0" applyNumberFormat="1" applyFont="1" applyFill="1" applyBorder="1"/>
    <xf numFmtId="0" fontId="5" fillId="8" borderId="22" xfId="0" applyFont="1" applyFill="1" applyBorder="1" applyAlignment="1">
      <alignment horizontal="right"/>
    </xf>
    <xf numFmtId="164" fontId="1" fillId="5" borderId="29" xfId="0" applyNumberFormat="1" applyFont="1" applyFill="1" applyBorder="1"/>
    <xf numFmtId="0" fontId="5" fillId="9" borderId="22" xfId="0" applyFont="1" applyFill="1" applyBorder="1" applyAlignment="1">
      <alignment horizontal="right"/>
    </xf>
    <xf numFmtId="0" fontId="5" fillId="10" borderId="22" xfId="0" applyFont="1" applyFill="1" applyBorder="1" applyAlignment="1">
      <alignment horizontal="right"/>
    </xf>
    <xf numFmtId="0" fontId="5" fillId="11" borderId="22" xfId="0" applyFont="1" applyFill="1" applyBorder="1" applyAlignment="1">
      <alignment horizontal="right"/>
    </xf>
    <xf numFmtId="0" fontId="5" fillId="12" borderId="22" xfId="0" applyFont="1" applyFill="1" applyBorder="1" applyAlignment="1">
      <alignment horizontal="right"/>
    </xf>
    <xf numFmtId="0" fontId="5" fillId="13" borderId="22" xfId="0" applyFont="1" applyFill="1" applyBorder="1" applyAlignment="1">
      <alignment horizontal="right"/>
    </xf>
    <xf numFmtId="0" fontId="5" fillId="14" borderId="22" xfId="0" applyFont="1" applyFill="1" applyBorder="1" applyAlignment="1">
      <alignment horizontal="right"/>
    </xf>
    <xf numFmtId="0" fontId="5" fillId="15" borderId="22" xfId="0" applyFont="1" applyFill="1" applyBorder="1" applyAlignment="1">
      <alignment horizontal="right"/>
    </xf>
    <xf numFmtId="0" fontId="5" fillId="16" borderId="22" xfId="0" applyFont="1" applyFill="1" applyBorder="1" applyAlignment="1">
      <alignment horizontal="right"/>
    </xf>
    <xf numFmtId="0" fontId="1" fillId="5" borderId="32" xfId="0" applyFont="1" applyFill="1" applyBorder="1"/>
    <xf numFmtId="0" fontId="4" fillId="5" borderId="32" xfId="0" applyFont="1" applyFill="1" applyBorder="1"/>
    <xf numFmtId="0" fontId="16" fillId="5" borderId="32" xfId="0" applyFont="1" applyFill="1" applyBorder="1"/>
    <xf numFmtId="0" fontId="9" fillId="5" borderId="32" xfId="0" applyFont="1" applyFill="1" applyBorder="1"/>
    <xf numFmtId="0" fontId="5" fillId="17" borderId="22" xfId="0" applyFont="1" applyFill="1" applyBorder="1" applyAlignment="1">
      <alignment horizontal="right"/>
    </xf>
    <xf numFmtId="0" fontId="7" fillId="0" borderId="31" xfId="0" applyFont="1" applyBorder="1"/>
    <xf numFmtId="0" fontId="5" fillId="5" borderId="32" xfId="0" applyFont="1" applyFill="1" applyBorder="1" applyAlignment="1">
      <alignment horizontal="center"/>
    </xf>
    <xf numFmtId="0" fontId="5" fillId="5" borderId="32" xfId="0" applyFont="1" applyFill="1" applyBorder="1"/>
    <xf numFmtId="0" fontId="7" fillId="0" borderId="24" xfId="0" applyFont="1" applyBorder="1"/>
    <xf numFmtId="0" fontId="7" fillId="0" borderId="25" xfId="0" applyFont="1" applyBorder="1"/>
    <xf numFmtId="0" fontId="5" fillId="5" borderId="32" xfId="0" applyFont="1" applyFill="1" applyBorder="1" applyAlignment="1">
      <alignment horizontal="right"/>
    </xf>
    <xf numFmtId="0" fontId="5" fillId="2" borderId="9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1" fillId="0" borderId="9" xfId="0" applyFont="1" applyBorder="1"/>
    <xf numFmtId="164" fontId="17" fillId="0" borderId="9" xfId="0" applyNumberFormat="1" applyFont="1" applyBorder="1"/>
    <xf numFmtId="164" fontId="1" fillId="4" borderId="9" xfId="0" applyNumberFormat="1" applyFont="1" applyFill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0" fontId="0" fillId="5" borderId="9" xfId="0" applyFill="1" applyBorder="1" applyAlignment="1">
      <alignment wrapText="1"/>
    </xf>
    <xf numFmtId="0" fontId="0" fillId="5" borderId="9" xfId="0" applyFill="1" applyBorder="1"/>
    <xf numFmtId="0" fontId="1" fillId="5" borderId="9" xfId="0" applyFont="1" applyFill="1" applyBorder="1"/>
    <xf numFmtId="164" fontId="1" fillId="5" borderId="9" xfId="0" applyNumberFormat="1" applyFont="1" applyFill="1" applyBorder="1" applyAlignment="1">
      <alignment horizontal="right"/>
    </xf>
    <xf numFmtId="0" fontId="9" fillId="6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right" vertical="center" wrapText="1"/>
    </xf>
    <xf numFmtId="0" fontId="5" fillId="6" borderId="29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left"/>
    </xf>
    <xf numFmtId="164" fontId="5" fillId="4" borderId="29" xfId="0" applyNumberFormat="1" applyFont="1" applyFill="1" applyBorder="1" applyAlignment="1">
      <alignment horizontal="right"/>
    </xf>
    <xf numFmtId="0" fontId="1" fillId="0" borderId="11" xfId="0" applyFont="1" applyBorder="1" applyAlignment="1">
      <alignment horizontal="left"/>
    </xf>
    <xf numFmtId="164" fontId="1" fillId="0" borderId="8" xfId="0" applyNumberFormat="1" applyFont="1" applyBorder="1" applyAlignment="1">
      <alignment horizontal="right"/>
    </xf>
    <xf numFmtId="0" fontId="1" fillId="5" borderId="22" xfId="0" applyFont="1" applyFill="1" applyBorder="1" applyAlignment="1">
      <alignment horizontal="left"/>
    </xf>
    <xf numFmtId="164" fontId="1" fillId="5" borderId="29" xfId="0" applyNumberFormat="1" applyFont="1" applyFill="1" applyBorder="1" applyAlignment="1">
      <alignment horizontal="right"/>
    </xf>
    <xf numFmtId="0" fontId="5" fillId="6" borderId="8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left"/>
    </xf>
    <xf numFmtId="164" fontId="5" fillId="4" borderId="8" xfId="0" applyNumberFormat="1" applyFont="1" applyFill="1" applyBorder="1" applyAlignment="1">
      <alignment horizontal="right"/>
    </xf>
    <xf numFmtId="0" fontId="5" fillId="6" borderId="36" xfId="0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0" fontId="5" fillId="6" borderId="38" xfId="0" applyFont="1" applyFill="1" applyBorder="1" applyAlignment="1">
      <alignment horizontal="center"/>
    </xf>
    <xf numFmtId="0" fontId="5" fillId="6" borderId="39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0" fontId="5" fillId="6" borderId="41" xfId="0" applyFont="1" applyFill="1" applyBorder="1" applyAlignment="1">
      <alignment horizontal="center"/>
    </xf>
    <xf numFmtId="164" fontId="0" fillId="0" borderId="14" xfId="0" applyNumberFormat="1" applyBorder="1"/>
    <xf numFmtId="164" fontId="0" fillId="0" borderId="42" xfId="0" applyNumberFormat="1" applyBorder="1"/>
    <xf numFmtId="164" fontId="0" fillId="0" borderId="43" xfId="0" applyNumberFormat="1" applyBorder="1"/>
    <xf numFmtId="164" fontId="0" fillId="0" borderId="46" xfId="0" applyNumberFormat="1" applyBorder="1"/>
    <xf numFmtId="164" fontId="0" fillId="0" borderId="47" xfId="0" applyNumberFormat="1" applyBorder="1"/>
    <xf numFmtId="0" fontId="4" fillId="7" borderId="48" xfId="0" applyFont="1" applyFill="1" applyBorder="1"/>
    <xf numFmtId="0" fontId="4" fillId="7" borderId="27" xfId="0" applyFont="1" applyFill="1" applyBorder="1"/>
    <xf numFmtId="0" fontId="4" fillId="7" borderId="49" xfId="0" applyFont="1" applyFill="1" applyBorder="1"/>
    <xf numFmtId="0" fontId="4" fillId="7" borderId="51" xfId="0" applyFont="1" applyFill="1" applyBorder="1" applyAlignment="1">
      <alignment horizontal="center"/>
    </xf>
    <xf numFmtId="164" fontId="4" fillId="7" borderId="52" xfId="0" applyNumberFormat="1" applyFont="1" applyFill="1" applyBorder="1" applyAlignment="1">
      <alignment horizontal="center"/>
    </xf>
    <xf numFmtId="0" fontId="4" fillId="7" borderId="54" xfId="0" applyFont="1" applyFill="1" applyBorder="1" applyAlignment="1">
      <alignment horizontal="center"/>
    </xf>
    <xf numFmtId="164" fontId="4" fillId="7" borderId="32" xfId="0" applyNumberFormat="1" applyFont="1" applyFill="1" applyBorder="1" applyAlignment="1">
      <alignment horizontal="center"/>
    </xf>
    <xf numFmtId="0" fontId="4" fillId="7" borderId="55" xfId="0" applyFont="1" applyFill="1" applyBorder="1"/>
    <xf numFmtId="0" fontId="4" fillId="7" borderId="50" xfId="0" applyFont="1" applyFill="1" applyBorder="1"/>
    <xf numFmtId="0" fontId="4" fillId="7" borderId="56" xfId="0" applyFont="1" applyFill="1" applyBorder="1"/>
    <xf numFmtId="0" fontId="4" fillId="7" borderId="53" xfId="0" applyFont="1" applyFill="1" applyBorder="1"/>
    <xf numFmtId="0" fontId="4" fillId="7" borderId="52" xfId="0" applyFont="1" applyFill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57" xfId="0" applyFont="1" applyFill="1" applyBorder="1"/>
    <xf numFmtId="0" fontId="4" fillId="7" borderId="32" xfId="0" applyFont="1" applyFill="1" applyBorder="1"/>
    <xf numFmtId="0" fontId="4" fillId="7" borderId="58" xfId="0" applyFont="1" applyFill="1" applyBorder="1"/>
    <xf numFmtId="0" fontId="4" fillId="7" borderId="59" xfId="0" applyFont="1" applyFill="1" applyBorder="1"/>
    <xf numFmtId="0" fontId="4" fillId="7" borderId="52" xfId="0" applyFont="1" applyFill="1" applyBorder="1"/>
    <xf numFmtId="0" fontId="4" fillId="7" borderId="29" xfId="0" applyFont="1" applyFill="1" applyBorder="1"/>
    <xf numFmtId="0" fontId="4" fillId="7" borderId="60" xfId="0" applyFont="1" applyFill="1" applyBorder="1"/>
    <xf numFmtId="0" fontId="4" fillId="7" borderId="61" xfId="0" applyFont="1" applyFill="1" applyBorder="1"/>
    <xf numFmtId="0" fontId="4" fillId="7" borderId="39" xfId="0" applyFont="1" applyFill="1" applyBorder="1"/>
    <xf numFmtId="0" fontId="5" fillId="6" borderId="10" xfId="0" applyFont="1" applyFill="1" applyBorder="1" applyAlignment="1">
      <alignment horizontal="center"/>
    </xf>
    <xf numFmtId="0" fontId="7" fillId="0" borderId="9" xfId="0" applyFont="1" applyBorder="1"/>
    <xf numFmtId="2" fontId="0" fillId="0" borderId="9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2" borderId="0" xfId="0" applyFont="1" applyFill="1" applyAlignment="1">
      <alignment horizontal="center" vertical="center"/>
    </xf>
    <xf numFmtId="0" fontId="5" fillId="4" borderId="13" xfId="0" applyFont="1" applyFill="1" applyBorder="1" applyAlignment="1">
      <alignment horizontal="center"/>
    </xf>
    <xf numFmtId="0" fontId="3" fillId="0" borderId="13" xfId="0" applyFont="1" applyBorder="1"/>
    <xf numFmtId="0" fontId="3" fillId="0" borderId="10" xfId="0" applyFont="1" applyBorder="1"/>
    <xf numFmtId="164" fontId="5" fillId="4" borderId="14" xfId="0" applyNumberFormat="1" applyFont="1" applyFill="1" applyBorder="1" applyAlignment="1">
      <alignment horizontal="right" vertical="center"/>
    </xf>
    <xf numFmtId="164" fontId="5" fillId="4" borderId="1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64" fontId="1" fillId="5" borderId="7" xfId="0" applyNumberFormat="1" applyFont="1" applyFill="1" applyBorder="1" applyAlignment="1">
      <alignment horizontal="right" vertical="center"/>
    </xf>
    <xf numFmtId="164" fontId="5" fillId="4" borderId="14" xfId="0" applyNumberFormat="1" applyFont="1" applyFill="1" applyBorder="1"/>
    <xf numFmtId="0" fontId="6" fillId="2" borderId="1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/>
    </xf>
    <xf numFmtId="0" fontId="0" fillId="6" borderId="14" xfId="0" applyFill="1" applyBorder="1" applyAlignment="1">
      <alignment horizontal="center" wrapText="1"/>
    </xf>
    <xf numFmtId="0" fontId="4" fillId="4" borderId="14" xfId="0" applyFont="1" applyFill="1" applyBorder="1"/>
    <xf numFmtId="0" fontId="7" fillId="0" borderId="14" xfId="0" applyFont="1" applyBorder="1"/>
    <xf numFmtId="10" fontId="8" fillId="0" borderId="14" xfId="0" applyNumberFormat="1" applyFont="1" applyBorder="1"/>
    <xf numFmtId="0" fontId="9" fillId="4" borderId="14" xfId="0" applyFont="1" applyFill="1" applyBorder="1"/>
    <xf numFmtId="0" fontId="10" fillId="4" borderId="14" xfId="0" applyFont="1" applyFill="1" applyBorder="1"/>
    <xf numFmtId="0" fontId="4" fillId="6" borderId="14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6" fillId="2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4" fillId="6" borderId="20" xfId="0" applyFont="1" applyFill="1" applyBorder="1" applyAlignment="1">
      <alignment horizontal="center"/>
    </xf>
    <xf numFmtId="0" fontId="3" fillId="0" borderId="21" xfId="0" applyFont="1" applyBorder="1"/>
    <xf numFmtId="0" fontId="9" fillId="4" borderId="14" xfId="0" applyFont="1" applyFill="1" applyBorder="1" applyAlignment="1">
      <alignment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4" fillId="6" borderId="26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4" fillId="0" borderId="14" xfId="0" applyFont="1" applyBorder="1"/>
    <xf numFmtId="0" fontId="4" fillId="4" borderId="14" xfId="0" applyFont="1" applyFill="1" applyBorder="1" applyAlignment="1">
      <alignment wrapText="1"/>
    </xf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6" borderId="14" xfId="0" applyFont="1" applyFill="1" applyBorder="1"/>
    <xf numFmtId="0" fontId="14" fillId="2" borderId="15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2" fillId="2" borderId="15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9" fillId="6" borderId="3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/>
    </xf>
    <xf numFmtId="0" fontId="18" fillId="6" borderId="20" xfId="0" applyFont="1" applyFill="1" applyBorder="1" applyAlignment="1">
      <alignment horizontal="center" vertical="center"/>
    </xf>
    <xf numFmtId="0" fontId="3" fillId="0" borderId="34" xfId="0" applyFont="1" applyBorder="1"/>
    <xf numFmtId="0" fontId="9" fillId="6" borderId="20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10" fillId="5" borderId="6" xfId="0" applyFont="1" applyFill="1" applyBorder="1"/>
    <xf numFmtId="0" fontId="0" fillId="5" borderId="14" xfId="0" applyFill="1" applyBorder="1"/>
    <xf numFmtId="0" fontId="0" fillId="5" borderId="44" xfId="0" applyFill="1" applyBorder="1"/>
    <xf numFmtId="0" fontId="3" fillId="0" borderId="45" xfId="0" applyFont="1" applyBorder="1"/>
    <xf numFmtId="2" fontId="0" fillId="0" borderId="5" xfId="0" applyNumberFormat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7" borderId="56" xfId="0" applyFont="1" applyFill="1" applyBorder="1" applyAlignment="1">
      <alignment horizontal="center" vertical="center"/>
    </xf>
    <xf numFmtId="0" fontId="3" fillId="0" borderId="27" xfId="0" applyFont="1" applyBorder="1"/>
    <xf numFmtId="10" fontId="0" fillId="0" borderId="5" xfId="0" applyNumberFormat="1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0" fontId="1" fillId="6" borderId="14" xfId="0" applyFont="1" applyFill="1" applyBorder="1" applyAlignment="1">
      <alignment horizontal="center"/>
    </xf>
    <xf numFmtId="0" fontId="4" fillId="7" borderId="50" xfId="0" applyFont="1" applyFill="1" applyBorder="1" applyAlignment="1">
      <alignment horizontal="center" vertical="center"/>
    </xf>
    <xf numFmtId="4" fontId="4" fillId="7" borderId="53" xfId="0" applyNumberFormat="1" applyFont="1" applyFill="1" applyBorder="1" applyAlignment="1">
      <alignment horizontal="center" vertical="center"/>
    </xf>
    <xf numFmtId="0" fontId="3" fillId="0" borderId="49" xfId="0" applyFont="1" applyBorder="1"/>
    <xf numFmtId="0" fontId="4" fillId="7" borderId="55" xfId="0" applyFont="1" applyFill="1" applyBorder="1" applyAlignment="1">
      <alignment horizontal="center" vertical="center"/>
    </xf>
    <xf numFmtId="0" fontId="3" fillId="0" borderId="48" xfId="0" applyFont="1" applyBorder="1"/>
    <xf numFmtId="10" fontId="4" fillId="7" borderId="53" xfId="0" applyNumberFormat="1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 wrapText="1"/>
    </xf>
    <xf numFmtId="164" fontId="4" fillId="7" borderId="5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O107"/>
  <sheetViews>
    <sheetView workbookViewId="0"/>
  </sheetViews>
  <sheetFormatPr defaultColWidth="14.42578125" defaultRowHeight="15" customHeight="1"/>
  <cols>
    <col min="2" max="2" width="50.140625" customWidth="1"/>
    <col min="4" max="4" width="14.42578125" customWidth="1"/>
    <col min="9" max="9" width="52.4257812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220" t="s">
        <v>0</v>
      </c>
      <c r="C2" s="221"/>
      <c r="D2" s="221"/>
      <c r="E2" s="221"/>
      <c r="F2" s="221"/>
      <c r="G2" s="221"/>
      <c r="H2" s="221"/>
      <c r="I2" s="221"/>
      <c r="J2" s="222"/>
      <c r="K2" s="1"/>
      <c r="L2" s="1"/>
      <c r="M2" s="1"/>
      <c r="N2" s="1"/>
      <c r="O2" s="1"/>
    </row>
    <row r="3" spans="1:15">
      <c r="A3" s="1"/>
      <c r="B3" s="223"/>
      <c r="C3" s="224"/>
      <c r="D3" s="224"/>
      <c r="E3" s="224"/>
      <c r="F3" s="224"/>
      <c r="G3" s="224"/>
      <c r="H3" s="224"/>
      <c r="I3" s="224"/>
      <c r="J3" s="225"/>
      <c r="L3" s="1"/>
      <c r="M3" s="1"/>
      <c r="N3" s="1"/>
      <c r="O3" s="1"/>
    </row>
    <row r="4" spans="1:15">
      <c r="A4" s="1"/>
      <c r="B4" s="223"/>
      <c r="C4" s="224"/>
      <c r="D4" s="224"/>
      <c r="E4" s="224"/>
      <c r="F4" s="224"/>
      <c r="G4" s="224"/>
      <c r="H4" s="224"/>
      <c r="I4" s="224"/>
      <c r="J4" s="225"/>
      <c r="L4" s="1"/>
      <c r="M4" s="1"/>
      <c r="N4" s="1"/>
      <c r="O4" s="1"/>
    </row>
    <row r="5" spans="1:15">
      <c r="A5" s="1"/>
      <c r="B5" s="223"/>
      <c r="C5" s="224"/>
      <c r="D5" s="224"/>
      <c r="E5" s="224"/>
      <c r="F5" s="224"/>
      <c r="G5" s="224"/>
      <c r="H5" s="224"/>
      <c r="I5" s="224"/>
      <c r="J5" s="225"/>
      <c r="L5" s="1"/>
      <c r="M5" s="1"/>
      <c r="N5" s="1"/>
      <c r="O5" s="1"/>
    </row>
    <row r="6" spans="1:15">
      <c r="A6" s="1"/>
      <c r="B6" s="223"/>
      <c r="C6" s="224"/>
      <c r="D6" s="224"/>
      <c r="E6" s="224"/>
      <c r="F6" s="224"/>
      <c r="G6" s="224"/>
      <c r="H6" s="224"/>
      <c r="I6" s="224"/>
      <c r="J6" s="225"/>
      <c r="L6" s="1"/>
      <c r="M6" s="1"/>
      <c r="N6" s="1"/>
      <c r="O6" s="1"/>
    </row>
    <row r="7" spans="1:15">
      <c r="A7" s="1"/>
      <c r="B7" s="226" t="s">
        <v>1</v>
      </c>
      <c r="C7" s="221"/>
      <c r="D7" s="221"/>
      <c r="E7" s="221"/>
      <c r="F7" s="221"/>
      <c r="G7" s="221"/>
      <c r="H7" s="221"/>
      <c r="I7" s="221"/>
      <c r="J7" s="222"/>
      <c r="L7" s="1"/>
      <c r="M7" s="1"/>
      <c r="N7" s="1"/>
      <c r="O7" s="1"/>
    </row>
    <row r="8" spans="1:15">
      <c r="A8" s="1"/>
      <c r="B8" s="223"/>
      <c r="C8" s="224"/>
      <c r="D8" s="224"/>
      <c r="E8" s="224"/>
      <c r="F8" s="224"/>
      <c r="G8" s="224"/>
      <c r="H8" s="224"/>
      <c r="I8" s="224"/>
      <c r="J8" s="225"/>
      <c r="L8" s="1"/>
      <c r="M8" s="1"/>
      <c r="N8" s="1"/>
      <c r="O8" s="1"/>
    </row>
    <row r="9" spans="1:15">
      <c r="A9" s="1"/>
      <c r="B9" s="223"/>
      <c r="C9" s="224"/>
      <c r="D9" s="224"/>
      <c r="E9" s="224"/>
      <c r="F9" s="224"/>
      <c r="G9" s="224"/>
      <c r="H9" s="224"/>
      <c r="I9" s="224"/>
      <c r="J9" s="225"/>
      <c r="L9" s="1"/>
      <c r="M9" s="1"/>
      <c r="N9" s="1"/>
      <c r="O9" s="1"/>
    </row>
    <row r="10" spans="1:15">
      <c r="A10" s="1"/>
      <c r="B10" s="227"/>
      <c r="C10" s="228"/>
      <c r="D10" s="228"/>
      <c r="E10" s="228"/>
      <c r="F10" s="228"/>
      <c r="G10" s="228"/>
      <c r="H10" s="228"/>
      <c r="I10" s="228"/>
      <c r="J10" s="229"/>
      <c r="L10" s="1"/>
      <c r="M10" s="1"/>
      <c r="N10" s="1"/>
      <c r="O10" s="1"/>
    </row>
    <row r="11" spans="1:15">
      <c r="A11" s="1"/>
      <c r="B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230" t="s">
        <v>2</v>
      </c>
      <c r="C13" s="224"/>
      <c r="D13" s="224"/>
      <c r="E13" s="224"/>
      <c r="F13" s="224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224"/>
      <c r="C14" s="224"/>
      <c r="D14" s="224"/>
      <c r="E14" s="224"/>
      <c r="F14" s="224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2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4" t="s">
        <v>8</v>
      </c>
      <c r="C16" s="5">
        <v>123000</v>
      </c>
      <c r="D16" s="6">
        <v>10</v>
      </c>
      <c r="E16" s="7" t="s">
        <v>9</v>
      </c>
      <c r="F16" s="8">
        <f t="shared" ref="F16:F22" si="0">C16*D16</f>
        <v>1230000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9" t="s">
        <v>10</v>
      </c>
      <c r="C17" s="5">
        <v>30000</v>
      </c>
      <c r="D17" s="6">
        <v>1</v>
      </c>
      <c r="E17" s="7" t="s">
        <v>11</v>
      </c>
      <c r="F17" s="8">
        <f t="shared" si="0"/>
        <v>30000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4" t="s">
        <v>12</v>
      </c>
      <c r="C18" s="5">
        <v>500</v>
      </c>
      <c r="D18" s="6">
        <v>10</v>
      </c>
      <c r="E18" s="7" t="s">
        <v>9</v>
      </c>
      <c r="F18" s="8">
        <f t="shared" si="0"/>
        <v>5000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4" t="s">
        <v>13</v>
      </c>
      <c r="C19" s="5">
        <v>3500</v>
      </c>
      <c r="D19" s="6">
        <v>10</v>
      </c>
      <c r="E19" s="7" t="s">
        <v>9</v>
      </c>
      <c r="F19" s="8">
        <f t="shared" si="0"/>
        <v>35000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 ht="30">
      <c r="A20" s="1"/>
      <c r="B20" s="4" t="s">
        <v>14</v>
      </c>
      <c r="C20" s="5">
        <v>76000</v>
      </c>
      <c r="D20" s="6">
        <v>7</v>
      </c>
      <c r="E20" s="7" t="s">
        <v>9</v>
      </c>
      <c r="F20" s="8">
        <f t="shared" si="0"/>
        <v>532000</v>
      </c>
      <c r="N20" s="1"/>
      <c r="O20" s="1"/>
    </row>
    <row r="21" spans="1:15" ht="30">
      <c r="A21" s="1"/>
      <c r="B21" s="9" t="s">
        <v>15</v>
      </c>
      <c r="C21" s="5">
        <v>65000</v>
      </c>
      <c r="D21" s="6">
        <v>6</v>
      </c>
      <c r="E21" s="7" t="s">
        <v>9</v>
      </c>
      <c r="F21" s="8">
        <f t="shared" si="0"/>
        <v>390000</v>
      </c>
      <c r="N21" s="1"/>
      <c r="O21" s="1"/>
    </row>
    <row r="22" spans="1:15">
      <c r="A22" s="1"/>
      <c r="B22" s="10" t="s">
        <v>16</v>
      </c>
      <c r="C22" s="11">
        <v>500</v>
      </c>
      <c r="D22" s="12">
        <v>13</v>
      </c>
      <c r="E22" s="7" t="s">
        <v>9</v>
      </c>
      <c r="F22" s="8">
        <f t="shared" si="0"/>
        <v>6500</v>
      </c>
      <c r="N22" s="1"/>
      <c r="O22" s="1"/>
    </row>
    <row r="23" spans="1:15">
      <c r="A23" s="1"/>
      <c r="B23" s="13" t="s">
        <v>17</v>
      </c>
      <c r="C23" s="231"/>
      <c r="D23" s="232"/>
      <c r="E23" s="233"/>
      <c r="F23" s="14">
        <f>SUM(F16:F22)</f>
        <v>2228500</v>
      </c>
      <c r="N23" s="1"/>
      <c r="O23" s="1"/>
    </row>
    <row r="24" spans="1:15">
      <c r="A24" s="1"/>
      <c r="B24" s="1"/>
      <c r="C24" s="1"/>
      <c r="N24" s="1"/>
      <c r="O24" s="1"/>
    </row>
    <row r="25" spans="1:15">
      <c r="A25" s="1"/>
      <c r="B25" s="1"/>
      <c r="C25" s="1"/>
      <c r="N25" s="1"/>
      <c r="O25" s="1"/>
    </row>
    <row r="26" spans="1:15">
      <c r="A26" s="1"/>
      <c r="B26" s="230" t="s">
        <v>18</v>
      </c>
      <c r="C26" s="224"/>
      <c r="D26" s="224"/>
      <c r="E26" s="224"/>
      <c r="F26" s="224"/>
      <c r="I26" s="230" t="s">
        <v>19</v>
      </c>
      <c r="J26" s="224"/>
      <c r="K26" s="224"/>
      <c r="L26" s="224"/>
      <c r="M26" s="224"/>
      <c r="N26" s="1"/>
      <c r="O26" s="1"/>
    </row>
    <row r="27" spans="1:15">
      <c r="A27" s="1"/>
      <c r="B27" s="224"/>
      <c r="C27" s="224"/>
      <c r="D27" s="224"/>
      <c r="E27" s="224"/>
      <c r="F27" s="224"/>
      <c r="I27" s="224"/>
      <c r="J27" s="224"/>
      <c r="K27" s="224"/>
      <c r="L27" s="224"/>
      <c r="M27" s="224"/>
      <c r="N27" s="1"/>
      <c r="O27" s="1"/>
    </row>
    <row r="28" spans="1:15">
      <c r="A28" s="1"/>
      <c r="B28" s="2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I28" s="2" t="s">
        <v>3</v>
      </c>
      <c r="J28" s="3" t="s">
        <v>4</v>
      </c>
      <c r="K28" s="3" t="s">
        <v>5</v>
      </c>
      <c r="L28" s="3" t="s">
        <v>6</v>
      </c>
      <c r="M28" s="3" t="s">
        <v>7</v>
      </c>
      <c r="N28" s="1"/>
      <c r="O28" s="1"/>
    </row>
    <row r="29" spans="1:15" ht="30">
      <c r="A29" s="1"/>
      <c r="B29" s="4" t="s">
        <v>20</v>
      </c>
      <c r="C29" s="5">
        <v>10</v>
      </c>
      <c r="D29" s="6">
        <v>3000</v>
      </c>
      <c r="E29" s="7" t="s">
        <v>21</v>
      </c>
      <c r="F29" s="8">
        <f t="shared" ref="F29:F32" si="1">C29*D29</f>
        <v>30000</v>
      </c>
      <c r="I29" s="4" t="s">
        <v>22</v>
      </c>
      <c r="J29" s="5">
        <v>179.18</v>
      </c>
      <c r="K29" s="6">
        <v>6</v>
      </c>
      <c r="L29" s="7" t="s">
        <v>23</v>
      </c>
      <c r="M29" s="5">
        <f t="shared" ref="M29:M31" si="2">J29*K29</f>
        <v>1075.08</v>
      </c>
      <c r="N29" s="1"/>
      <c r="O29" s="1"/>
    </row>
    <row r="30" spans="1:15">
      <c r="A30" s="1"/>
      <c r="B30" s="9" t="s">
        <v>24</v>
      </c>
      <c r="C30" s="5">
        <v>521.82000000000005</v>
      </c>
      <c r="D30" s="6">
        <v>1</v>
      </c>
      <c r="E30" s="7" t="s">
        <v>11</v>
      </c>
      <c r="F30" s="8">
        <f t="shared" si="1"/>
        <v>521.82000000000005</v>
      </c>
      <c r="I30" s="9" t="s">
        <v>25</v>
      </c>
      <c r="J30" s="5">
        <v>179.18</v>
      </c>
      <c r="K30" s="6">
        <v>3</v>
      </c>
      <c r="L30" s="7" t="s">
        <v>23</v>
      </c>
      <c r="M30" s="5">
        <f t="shared" si="2"/>
        <v>537.54</v>
      </c>
      <c r="N30" s="1"/>
      <c r="O30" s="1"/>
    </row>
    <row r="31" spans="1:15">
      <c r="A31" s="1"/>
      <c r="B31" s="4" t="s">
        <v>26</v>
      </c>
      <c r="C31" s="5">
        <v>135.46</v>
      </c>
      <c r="D31" s="6">
        <v>1</v>
      </c>
      <c r="E31" s="7" t="s">
        <v>11</v>
      </c>
      <c r="F31" s="8">
        <f t="shared" si="1"/>
        <v>135.46</v>
      </c>
      <c r="G31" s="15"/>
      <c r="H31" s="16"/>
      <c r="I31" s="17" t="s">
        <v>27</v>
      </c>
      <c r="J31" s="18">
        <v>179.18</v>
      </c>
      <c r="K31" s="19">
        <v>5</v>
      </c>
      <c r="L31" s="20" t="s">
        <v>23</v>
      </c>
      <c r="M31" s="18">
        <f t="shared" si="2"/>
        <v>895.90000000000009</v>
      </c>
      <c r="N31" s="1"/>
      <c r="O31" s="1"/>
    </row>
    <row r="32" spans="1:15">
      <c r="A32" s="1"/>
      <c r="B32" s="4" t="s">
        <v>28</v>
      </c>
      <c r="C32" s="5">
        <v>521.82000000000005</v>
      </c>
      <c r="D32" s="6">
        <v>1</v>
      </c>
      <c r="E32" s="7" t="s">
        <v>11</v>
      </c>
      <c r="F32" s="8">
        <f t="shared" si="1"/>
        <v>521.82000000000005</v>
      </c>
      <c r="G32" s="15"/>
      <c r="H32" s="16"/>
      <c r="I32" s="13" t="s">
        <v>17</v>
      </c>
      <c r="J32" s="234"/>
      <c r="K32" s="232"/>
      <c r="L32" s="233"/>
      <c r="M32" s="14">
        <f>SUM(M29:M31)</f>
        <v>2508.52</v>
      </c>
    </row>
    <row r="33" spans="1:13">
      <c r="A33" s="1"/>
      <c r="B33" s="4" t="s">
        <v>29</v>
      </c>
      <c r="C33" s="238"/>
      <c r="D33" s="228"/>
      <c r="E33" s="229"/>
      <c r="F33" s="8">
        <f>M32</f>
        <v>2508.52</v>
      </c>
      <c r="G33" s="15"/>
      <c r="H33" s="16"/>
    </row>
    <row r="34" spans="1:13">
      <c r="A34" s="1"/>
      <c r="B34" s="9" t="s">
        <v>30</v>
      </c>
      <c r="C34" s="238">
        <f>J47</f>
        <v>0</v>
      </c>
      <c r="D34" s="228"/>
      <c r="E34" s="229"/>
      <c r="F34" s="8">
        <f>M47</f>
        <v>903336.39</v>
      </c>
      <c r="G34" s="15"/>
      <c r="H34" s="16"/>
    </row>
    <row r="35" spans="1:13">
      <c r="A35" s="1"/>
      <c r="B35" s="21" t="s">
        <v>17</v>
      </c>
      <c r="C35" s="231"/>
      <c r="D35" s="232"/>
      <c r="E35" s="233"/>
      <c r="F35" s="22">
        <f>SUM(F29:F34)</f>
        <v>937024.01</v>
      </c>
      <c r="G35" s="15"/>
      <c r="H35" s="16"/>
      <c r="I35" s="230" t="s">
        <v>31</v>
      </c>
      <c r="J35" s="224"/>
      <c r="K35" s="224"/>
      <c r="L35" s="224"/>
      <c r="M35" s="224"/>
    </row>
    <row r="36" spans="1:13">
      <c r="A36" s="1"/>
      <c r="G36" s="15"/>
      <c r="H36" s="16"/>
      <c r="I36" s="228"/>
      <c r="J36" s="228"/>
      <c r="K36" s="228"/>
      <c r="L36" s="228"/>
      <c r="M36" s="228"/>
    </row>
    <row r="37" spans="1:13">
      <c r="A37" s="1"/>
      <c r="I37" s="23" t="s">
        <v>3</v>
      </c>
      <c r="J37" s="24" t="s">
        <v>4</v>
      </c>
      <c r="K37" s="24" t="s">
        <v>5</v>
      </c>
      <c r="L37" s="24" t="s">
        <v>6</v>
      </c>
      <c r="M37" s="24" t="s">
        <v>7</v>
      </c>
    </row>
    <row r="38" spans="1:13">
      <c r="A38" s="1"/>
      <c r="B38" s="236" t="s">
        <v>32</v>
      </c>
      <c r="C38" s="224"/>
      <c r="D38" s="224"/>
      <c r="E38" s="224"/>
      <c r="F38" s="224"/>
      <c r="I38" s="4" t="s">
        <v>33</v>
      </c>
      <c r="J38" s="25">
        <v>20000</v>
      </c>
      <c r="K38" s="26">
        <v>1</v>
      </c>
      <c r="L38" s="27" t="s">
        <v>11</v>
      </c>
      <c r="M38" s="25">
        <f t="shared" ref="M38:M46" si="3">J38*K38</f>
        <v>20000</v>
      </c>
    </row>
    <row r="39" spans="1:13" ht="30">
      <c r="A39" s="1"/>
      <c r="B39" s="224"/>
      <c r="C39" s="224"/>
      <c r="D39" s="224"/>
      <c r="E39" s="224"/>
      <c r="F39" s="224"/>
      <c r="I39" s="28" t="s">
        <v>34</v>
      </c>
      <c r="J39" s="18">
        <v>20000</v>
      </c>
      <c r="K39" s="19">
        <v>1</v>
      </c>
      <c r="L39" s="20" t="s">
        <v>11</v>
      </c>
      <c r="M39" s="18">
        <f t="shared" si="3"/>
        <v>20000</v>
      </c>
    </row>
    <row r="40" spans="1:13" ht="30">
      <c r="A40" s="1"/>
      <c r="B40" s="2" t="s">
        <v>3</v>
      </c>
      <c r="C40" s="3" t="s">
        <v>4</v>
      </c>
      <c r="D40" s="3" t="s">
        <v>5</v>
      </c>
      <c r="E40" s="3" t="s">
        <v>6</v>
      </c>
      <c r="F40" s="3" t="s">
        <v>7</v>
      </c>
      <c r="I40" s="17" t="s">
        <v>35</v>
      </c>
      <c r="J40" s="18">
        <v>263.08999999999997</v>
      </c>
      <c r="K40" s="19">
        <v>16</v>
      </c>
      <c r="L40" s="20" t="s">
        <v>9</v>
      </c>
      <c r="M40" s="18">
        <f t="shared" si="3"/>
        <v>4209.4399999999996</v>
      </c>
    </row>
    <row r="41" spans="1:13" ht="30">
      <c r="A41" s="1"/>
      <c r="B41" s="17" t="s">
        <v>36</v>
      </c>
      <c r="C41" s="18">
        <v>2500</v>
      </c>
      <c r="D41" s="19">
        <v>1</v>
      </c>
      <c r="E41" s="20" t="s">
        <v>9</v>
      </c>
      <c r="F41" s="18">
        <f t="shared" ref="F41:F50" si="4">C41*D41</f>
        <v>2500</v>
      </c>
      <c r="I41" s="17" t="s">
        <v>37</v>
      </c>
      <c r="J41" s="18">
        <v>700</v>
      </c>
      <c r="K41" s="19">
        <v>1000</v>
      </c>
      <c r="L41" s="20" t="s">
        <v>21</v>
      </c>
      <c r="M41" s="18">
        <f t="shared" si="3"/>
        <v>700000</v>
      </c>
    </row>
    <row r="42" spans="1:13">
      <c r="A42" s="1"/>
      <c r="B42" s="17" t="s">
        <v>38</v>
      </c>
      <c r="C42" s="18">
        <v>4300</v>
      </c>
      <c r="D42" s="19">
        <v>1</v>
      </c>
      <c r="E42" s="20" t="s">
        <v>9</v>
      </c>
      <c r="F42" s="18">
        <f t="shared" si="4"/>
        <v>4300</v>
      </c>
      <c r="I42" s="29" t="s">
        <v>39</v>
      </c>
      <c r="J42" s="30">
        <v>20</v>
      </c>
      <c r="K42" s="31">
        <v>600</v>
      </c>
      <c r="L42" s="32" t="s">
        <v>21</v>
      </c>
      <c r="M42" s="30">
        <f t="shared" si="3"/>
        <v>12000</v>
      </c>
    </row>
    <row r="43" spans="1:13" ht="30">
      <c r="A43" s="1"/>
      <c r="B43" s="17" t="s">
        <v>40</v>
      </c>
      <c r="C43" s="18">
        <v>70</v>
      </c>
      <c r="D43" s="19">
        <v>7</v>
      </c>
      <c r="E43" s="20" t="s">
        <v>9</v>
      </c>
      <c r="F43" s="18">
        <f t="shared" si="4"/>
        <v>490</v>
      </c>
      <c r="I43" s="17" t="s">
        <v>41</v>
      </c>
      <c r="J43" s="18">
        <v>30</v>
      </c>
      <c r="K43" s="19">
        <v>200</v>
      </c>
      <c r="L43" s="20" t="s">
        <v>42</v>
      </c>
      <c r="M43" s="18">
        <f t="shared" si="3"/>
        <v>6000</v>
      </c>
    </row>
    <row r="44" spans="1:13">
      <c r="A44" s="1"/>
      <c r="B44" s="17" t="s">
        <v>43</v>
      </c>
      <c r="C44" s="18">
        <v>150</v>
      </c>
      <c r="D44" s="19">
        <v>2</v>
      </c>
      <c r="E44" s="20" t="s">
        <v>9</v>
      </c>
      <c r="F44" s="18">
        <f t="shared" si="4"/>
        <v>300</v>
      </c>
      <c r="I44" s="17" t="s">
        <v>44</v>
      </c>
      <c r="J44" s="18">
        <v>35</v>
      </c>
      <c r="K44" s="19">
        <v>72</v>
      </c>
      <c r="L44" s="20" t="s">
        <v>42</v>
      </c>
      <c r="M44" s="18">
        <f t="shared" si="3"/>
        <v>2520</v>
      </c>
    </row>
    <row r="45" spans="1:13">
      <c r="A45" s="1"/>
      <c r="B45" s="17" t="s">
        <v>45</v>
      </c>
      <c r="C45" s="18">
        <v>50</v>
      </c>
      <c r="D45" s="19">
        <v>3</v>
      </c>
      <c r="E45" s="20" t="s">
        <v>9</v>
      </c>
      <c r="F45" s="18">
        <f t="shared" si="4"/>
        <v>150</v>
      </c>
      <c r="I45" s="17" t="s">
        <v>46</v>
      </c>
      <c r="J45" s="18">
        <v>72.319999999999993</v>
      </c>
      <c r="K45" s="19">
        <v>40</v>
      </c>
      <c r="L45" s="20" t="s">
        <v>9</v>
      </c>
      <c r="M45" s="18">
        <f t="shared" si="3"/>
        <v>2892.7999999999997</v>
      </c>
    </row>
    <row r="46" spans="1:13" ht="75">
      <c r="A46" s="1"/>
      <c r="B46" s="17" t="s">
        <v>47</v>
      </c>
      <c r="C46" s="18">
        <v>239</v>
      </c>
      <c r="D46" s="19">
        <v>1</v>
      </c>
      <c r="E46" s="20" t="s">
        <v>9</v>
      </c>
      <c r="F46" s="18">
        <f t="shared" si="4"/>
        <v>239</v>
      </c>
      <c r="I46" s="17" t="s">
        <v>48</v>
      </c>
      <c r="J46" s="18">
        <v>1428.57</v>
      </c>
      <c r="K46" s="19">
        <v>95</v>
      </c>
      <c r="L46" s="20" t="s">
        <v>21</v>
      </c>
      <c r="M46" s="18">
        <f t="shared" si="3"/>
        <v>135714.15</v>
      </c>
    </row>
    <row r="47" spans="1:13">
      <c r="A47" s="1"/>
      <c r="B47" s="17" t="s">
        <v>49</v>
      </c>
      <c r="C47" s="18">
        <v>400</v>
      </c>
      <c r="D47" s="19">
        <v>1</v>
      </c>
      <c r="E47" s="20" t="s">
        <v>50</v>
      </c>
      <c r="F47" s="18">
        <f t="shared" si="4"/>
        <v>400</v>
      </c>
      <c r="I47" s="13" t="s">
        <v>17</v>
      </c>
      <c r="J47" s="239"/>
      <c r="K47" s="232"/>
      <c r="L47" s="233"/>
      <c r="M47" s="33">
        <f>SUM(M38:M46)</f>
        <v>903336.39</v>
      </c>
    </row>
    <row r="48" spans="1:13" ht="30">
      <c r="A48" s="1"/>
      <c r="B48" s="17" t="s">
        <v>51</v>
      </c>
      <c r="C48" s="18">
        <v>1600</v>
      </c>
      <c r="D48" s="19">
        <v>1</v>
      </c>
      <c r="E48" s="20" t="s">
        <v>50</v>
      </c>
      <c r="F48" s="18">
        <f t="shared" si="4"/>
        <v>1600</v>
      </c>
    </row>
    <row r="49" spans="1:8" ht="30">
      <c r="A49" s="1"/>
      <c r="B49" s="17" t="s">
        <v>52</v>
      </c>
      <c r="C49" s="18">
        <v>2200</v>
      </c>
      <c r="D49" s="19">
        <v>3</v>
      </c>
      <c r="E49" s="20" t="s">
        <v>50</v>
      </c>
      <c r="F49" s="18">
        <f t="shared" si="4"/>
        <v>6600</v>
      </c>
      <c r="G49" s="1"/>
      <c r="H49" s="1"/>
    </row>
    <row r="50" spans="1:8">
      <c r="A50" s="1"/>
      <c r="B50" s="28" t="s">
        <v>53</v>
      </c>
      <c r="C50" s="34">
        <v>1499.82</v>
      </c>
      <c r="D50" s="19">
        <v>1</v>
      </c>
      <c r="E50" s="20" t="s">
        <v>9</v>
      </c>
      <c r="F50" s="18">
        <f t="shared" si="4"/>
        <v>1499.82</v>
      </c>
      <c r="G50" s="1"/>
      <c r="H50" s="1"/>
    </row>
    <row r="51" spans="1:8">
      <c r="A51" s="1"/>
      <c r="B51" s="21" t="s">
        <v>17</v>
      </c>
      <c r="C51" s="231"/>
      <c r="D51" s="232"/>
      <c r="E51" s="233"/>
      <c r="F51" s="22">
        <f>SUM(F41:F50)</f>
        <v>18078.82</v>
      </c>
      <c r="G51" s="1"/>
      <c r="H51" s="1"/>
    </row>
    <row r="52" spans="1:8">
      <c r="A52" s="1"/>
      <c r="G52" s="1"/>
      <c r="H52" s="1"/>
    </row>
    <row r="53" spans="1:8">
      <c r="A53" s="1"/>
      <c r="G53" s="1"/>
      <c r="H53" s="1"/>
    </row>
    <row r="54" spans="1:8">
      <c r="A54" s="1"/>
      <c r="B54" s="230" t="s">
        <v>54</v>
      </c>
      <c r="C54" s="224"/>
      <c r="D54" s="224"/>
      <c r="E54" s="224"/>
      <c r="F54" s="224"/>
      <c r="G54" s="1"/>
      <c r="H54" s="1"/>
    </row>
    <row r="55" spans="1:8">
      <c r="A55" s="1"/>
      <c r="B55" s="224"/>
      <c r="C55" s="224"/>
      <c r="D55" s="224"/>
      <c r="E55" s="224"/>
      <c r="F55" s="224"/>
      <c r="G55" s="1"/>
      <c r="H55" s="1"/>
    </row>
    <row r="56" spans="1:8">
      <c r="A56" s="1"/>
      <c r="B56" s="2" t="s">
        <v>3</v>
      </c>
      <c r="C56" s="3" t="s">
        <v>4</v>
      </c>
      <c r="D56" s="3" t="s">
        <v>5</v>
      </c>
      <c r="E56" s="3" t="s">
        <v>6</v>
      </c>
      <c r="F56" s="3" t="s">
        <v>7</v>
      </c>
      <c r="G56" s="1"/>
      <c r="H56" s="1"/>
    </row>
    <row r="57" spans="1:8" ht="45">
      <c r="A57" s="1"/>
      <c r="B57" s="28" t="s">
        <v>55</v>
      </c>
      <c r="C57" s="34">
        <v>400.35</v>
      </c>
      <c r="D57" s="19">
        <v>5</v>
      </c>
      <c r="E57" s="20" t="s">
        <v>9</v>
      </c>
      <c r="F57" s="18">
        <f t="shared" ref="F57:F60" si="5">C57*D57</f>
        <v>2001.75</v>
      </c>
      <c r="G57" s="1"/>
      <c r="H57" s="1"/>
    </row>
    <row r="58" spans="1:8" ht="30">
      <c r="A58" s="1"/>
      <c r="B58" s="9" t="s">
        <v>56</v>
      </c>
      <c r="C58" s="5">
        <v>39.99</v>
      </c>
      <c r="D58" s="6">
        <v>1</v>
      </c>
      <c r="E58" s="7" t="s">
        <v>9</v>
      </c>
      <c r="F58" s="5">
        <f t="shared" si="5"/>
        <v>39.99</v>
      </c>
      <c r="G58" s="1"/>
      <c r="H58" s="1"/>
    </row>
    <row r="59" spans="1:8">
      <c r="A59" s="1"/>
      <c r="B59" s="28" t="s">
        <v>57</v>
      </c>
      <c r="C59" s="34">
        <v>105</v>
      </c>
      <c r="D59" s="19">
        <v>5</v>
      </c>
      <c r="E59" s="20" t="s">
        <v>9</v>
      </c>
      <c r="F59" s="18">
        <f t="shared" si="5"/>
        <v>525</v>
      </c>
      <c r="G59" s="1"/>
      <c r="H59" s="1"/>
    </row>
    <row r="60" spans="1:8">
      <c r="A60" s="1"/>
      <c r="B60" s="28" t="s">
        <v>58</v>
      </c>
      <c r="C60" s="34">
        <v>18.559999999999999</v>
      </c>
      <c r="D60" s="19">
        <v>5</v>
      </c>
      <c r="E60" s="20" t="s">
        <v>9</v>
      </c>
      <c r="F60" s="18">
        <f t="shared" si="5"/>
        <v>92.8</v>
      </c>
      <c r="G60" s="1"/>
      <c r="H60" s="1"/>
    </row>
    <row r="61" spans="1:8">
      <c r="A61" s="1"/>
      <c r="B61" s="13" t="s">
        <v>17</v>
      </c>
      <c r="C61" s="235"/>
      <c r="D61" s="232"/>
      <c r="E61" s="233"/>
      <c r="F61" s="14">
        <f>SUM(F57:F60)</f>
        <v>2659.54</v>
      </c>
      <c r="G61" s="1"/>
      <c r="H61" s="1"/>
    </row>
    <row r="62" spans="1:8">
      <c r="A62" s="1"/>
      <c r="G62" s="1"/>
      <c r="H62" s="1"/>
    </row>
    <row r="63" spans="1:8">
      <c r="A63" s="1"/>
      <c r="G63" s="1"/>
      <c r="H63" s="1"/>
    </row>
    <row r="64" spans="1:8">
      <c r="A64" s="1"/>
      <c r="B64" s="236" t="s">
        <v>59</v>
      </c>
      <c r="C64" s="224"/>
      <c r="D64" s="224"/>
      <c r="E64" s="224"/>
      <c r="F64" s="224"/>
      <c r="G64" s="1"/>
      <c r="H64" s="1"/>
    </row>
    <row r="65" spans="1:15">
      <c r="A65" s="1"/>
      <c r="B65" s="224"/>
      <c r="C65" s="224"/>
      <c r="D65" s="224"/>
      <c r="E65" s="224"/>
      <c r="F65" s="224"/>
      <c r="G65" s="1"/>
      <c r="H65" s="1"/>
    </row>
    <row r="66" spans="1:15">
      <c r="A66" s="1"/>
      <c r="B66" s="237" t="s">
        <v>60</v>
      </c>
      <c r="C66" s="232"/>
      <c r="D66" s="232"/>
      <c r="E66" s="232"/>
      <c r="F66" s="233"/>
      <c r="G66" s="1"/>
      <c r="H66" s="1"/>
      <c r="N66" s="35"/>
      <c r="O66" s="35"/>
    </row>
    <row r="67" spans="1:15">
      <c r="A67" s="1"/>
      <c r="B67" s="36" t="s">
        <v>3</v>
      </c>
      <c r="C67" s="37" t="s">
        <v>4</v>
      </c>
      <c r="D67" s="37" t="s">
        <v>5</v>
      </c>
      <c r="E67" s="37" t="s">
        <v>6</v>
      </c>
      <c r="F67" s="37" t="s">
        <v>7</v>
      </c>
      <c r="G67" s="1"/>
      <c r="N67" s="16"/>
    </row>
    <row r="68" spans="1:15">
      <c r="A68" s="1"/>
      <c r="B68" s="4" t="s">
        <v>61</v>
      </c>
      <c r="C68" s="5">
        <v>330</v>
      </c>
      <c r="D68" s="6">
        <v>1</v>
      </c>
      <c r="E68" s="38" t="s">
        <v>11</v>
      </c>
      <c r="F68" s="5">
        <f t="shared" ref="F68:F72" si="6">C68*D68</f>
        <v>330</v>
      </c>
      <c r="G68" s="1"/>
      <c r="H68" s="1"/>
      <c r="N68" s="15"/>
      <c r="O68" s="16"/>
    </row>
    <row r="69" spans="1:15">
      <c r="A69" s="1"/>
      <c r="B69" s="9" t="s">
        <v>62</v>
      </c>
      <c r="C69" s="5">
        <v>53.09</v>
      </c>
      <c r="D69" s="6">
        <v>1</v>
      </c>
      <c r="E69" s="7" t="s">
        <v>11</v>
      </c>
      <c r="F69" s="5">
        <f t="shared" si="6"/>
        <v>53.09</v>
      </c>
      <c r="G69" s="1"/>
      <c r="H69" s="1"/>
      <c r="N69" s="15"/>
      <c r="O69" s="16"/>
    </row>
    <row r="70" spans="1:15">
      <c r="A70" s="1"/>
      <c r="B70" s="4" t="s">
        <v>63</v>
      </c>
      <c r="C70" s="5">
        <v>119.45</v>
      </c>
      <c r="D70" s="6">
        <v>1</v>
      </c>
      <c r="E70" s="7" t="s">
        <v>11</v>
      </c>
      <c r="F70" s="5">
        <f t="shared" si="6"/>
        <v>119.45</v>
      </c>
      <c r="N70" s="15"/>
      <c r="O70" s="16"/>
    </row>
    <row r="71" spans="1:15">
      <c r="A71" s="1"/>
      <c r="B71" s="4" t="s">
        <v>64</v>
      </c>
      <c r="C71" s="5">
        <v>7.3</v>
      </c>
      <c r="D71" s="6">
        <v>1</v>
      </c>
      <c r="E71" s="7" t="s">
        <v>11</v>
      </c>
      <c r="F71" s="5">
        <f t="shared" si="6"/>
        <v>7.3</v>
      </c>
      <c r="N71" s="15"/>
      <c r="O71" s="16"/>
    </row>
    <row r="72" spans="1:15" ht="30">
      <c r="A72" s="1"/>
      <c r="B72" s="4" t="s">
        <v>65</v>
      </c>
      <c r="C72" s="5">
        <v>30</v>
      </c>
      <c r="D72" s="6">
        <v>1</v>
      </c>
      <c r="E72" s="7" t="s">
        <v>11</v>
      </c>
      <c r="F72" s="5">
        <f t="shared" si="6"/>
        <v>30</v>
      </c>
      <c r="N72" s="15"/>
      <c r="O72" s="16"/>
    </row>
    <row r="73" spans="1:15">
      <c r="A73" s="1"/>
      <c r="B73" s="13" t="s">
        <v>17</v>
      </c>
      <c r="C73" s="231"/>
      <c r="D73" s="232"/>
      <c r="E73" s="233"/>
      <c r="F73" s="22">
        <f>SUM(F68:F72)</f>
        <v>539.84</v>
      </c>
      <c r="N73" s="15"/>
      <c r="O73" s="16"/>
    </row>
    <row r="74" spans="1:15">
      <c r="A74" s="1"/>
      <c r="N74" s="15"/>
      <c r="O74" s="16"/>
    </row>
    <row r="75" spans="1:15">
      <c r="A75" s="1"/>
      <c r="N75" s="39"/>
      <c r="O75" s="40"/>
    </row>
    <row r="76" spans="1:15" ht="28.5" customHeight="1">
      <c r="A76" s="1"/>
      <c r="B76" s="230" t="s">
        <v>66</v>
      </c>
      <c r="C76" s="224"/>
      <c r="N76" s="1"/>
      <c r="O76" s="1"/>
    </row>
    <row r="77" spans="1:15">
      <c r="A77" s="1"/>
      <c r="B77" s="224"/>
      <c r="C77" s="224"/>
      <c r="N77" s="1"/>
      <c r="O77" s="1"/>
    </row>
    <row r="78" spans="1:15">
      <c r="A78" s="1"/>
      <c r="B78" s="41" t="s">
        <v>67</v>
      </c>
      <c r="C78" s="22">
        <f>F23+F51+F61+F35+F73</f>
        <v>3186802.21</v>
      </c>
      <c r="N78" s="1"/>
      <c r="O78" s="1"/>
    </row>
    <row r="79" spans="1:15">
      <c r="A79" s="1"/>
      <c r="N79" s="1"/>
      <c r="O79" s="1"/>
    </row>
    <row r="80" spans="1:15">
      <c r="A80" s="1"/>
      <c r="N80" s="1"/>
      <c r="O80" s="1"/>
    </row>
    <row r="81" spans="1:15">
      <c r="A81" s="1"/>
      <c r="N81" s="1"/>
      <c r="O81" s="1"/>
    </row>
    <row r="82" spans="1:15">
      <c r="A82" s="1"/>
      <c r="N82" s="1"/>
      <c r="O82" s="1"/>
    </row>
    <row r="83" spans="1:15">
      <c r="A83" s="1"/>
      <c r="N83" s="1"/>
      <c r="O83" s="1"/>
    </row>
    <row r="84" spans="1:15">
      <c r="A84" s="1"/>
      <c r="N84" s="1"/>
      <c r="O84" s="1"/>
    </row>
    <row r="85" spans="1:15">
      <c r="A85" s="1"/>
      <c r="N85" s="1"/>
      <c r="O85" s="1"/>
    </row>
    <row r="86" spans="1:15">
      <c r="A86" s="1"/>
      <c r="N86" s="1"/>
      <c r="O86" s="1"/>
    </row>
    <row r="87" spans="1:15">
      <c r="A87" s="1"/>
      <c r="N87" s="1"/>
      <c r="O87" s="1"/>
    </row>
    <row r="88" spans="1:15">
      <c r="A88" s="1"/>
      <c r="N88" s="1"/>
      <c r="O88" s="1"/>
    </row>
    <row r="89" spans="1:15">
      <c r="A89" s="1"/>
      <c r="N89" s="1"/>
      <c r="O89" s="1"/>
    </row>
    <row r="90" spans="1:15">
      <c r="A90" s="1"/>
      <c r="O90" s="1"/>
    </row>
    <row r="91" spans="1:15">
      <c r="A91" s="1"/>
      <c r="N91" s="1"/>
      <c r="O91" s="1"/>
    </row>
    <row r="92" spans="1:15">
      <c r="A92" s="1"/>
      <c r="N92" s="1"/>
      <c r="O92" s="1"/>
    </row>
    <row r="93" spans="1:15">
      <c r="A93" s="1"/>
      <c r="N93" s="1"/>
      <c r="O93" s="1"/>
    </row>
    <row r="94" spans="1:15">
      <c r="A94" s="1"/>
      <c r="N94" s="1"/>
      <c r="O94" s="1"/>
    </row>
    <row r="95" spans="1:15">
      <c r="A95" s="1"/>
      <c r="N95" s="1"/>
      <c r="O95" s="1"/>
    </row>
    <row r="96" spans="1:15">
      <c r="A96" s="1"/>
      <c r="N96" s="1"/>
      <c r="O96" s="1"/>
    </row>
    <row r="97" spans="1:15">
      <c r="A97" s="1"/>
      <c r="N97" s="1"/>
      <c r="O97" s="1"/>
    </row>
    <row r="98" spans="1:15">
      <c r="A98" s="1"/>
      <c r="N98" s="1"/>
      <c r="O98" s="1"/>
    </row>
    <row r="99" spans="1:15">
      <c r="A99" s="1"/>
      <c r="N99" s="1"/>
      <c r="O99" s="1"/>
    </row>
    <row r="100" spans="1:15">
      <c r="A100" s="1"/>
      <c r="N100" s="1"/>
      <c r="O100" s="1"/>
    </row>
    <row r="101" spans="1:15">
      <c r="A101" s="1"/>
      <c r="B101" s="1"/>
      <c r="C101" s="1"/>
      <c r="D101" s="1"/>
      <c r="E101" s="1"/>
      <c r="F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I102" s="1"/>
      <c r="J102" s="1"/>
      <c r="K102" s="1"/>
      <c r="L102" s="1"/>
      <c r="M102" s="1"/>
      <c r="N102" s="1"/>
      <c r="O102" s="1"/>
    </row>
    <row r="103" spans="1:15">
      <c r="B103" s="1"/>
      <c r="C103" s="1"/>
      <c r="D103" s="1"/>
      <c r="E103" s="1"/>
      <c r="F103" s="1"/>
    </row>
    <row r="104" spans="1:15">
      <c r="B104" s="1"/>
      <c r="C104" s="1"/>
      <c r="D104" s="1"/>
      <c r="E104" s="1"/>
      <c r="F104" s="1"/>
    </row>
    <row r="105" spans="1:15">
      <c r="D105" s="1"/>
      <c r="E105" s="1"/>
      <c r="F105" s="1"/>
    </row>
    <row r="106" spans="1:15">
      <c r="D106" s="1"/>
      <c r="E106" s="1"/>
      <c r="F106" s="1"/>
    </row>
    <row r="107" spans="1:15">
      <c r="D107" s="1"/>
      <c r="E107" s="1"/>
      <c r="F107" s="1"/>
    </row>
  </sheetData>
  <mergeCells count="20">
    <mergeCell ref="C73:E73"/>
    <mergeCell ref="B76:C77"/>
    <mergeCell ref="C33:E33"/>
    <mergeCell ref="C34:E34"/>
    <mergeCell ref="C35:E35"/>
    <mergeCell ref="B38:F39"/>
    <mergeCell ref="C51:E51"/>
    <mergeCell ref="J32:L32"/>
    <mergeCell ref="B54:F55"/>
    <mergeCell ref="C61:E61"/>
    <mergeCell ref="B64:F65"/>
    <mergeCell ref="B66:F66"/>
    <mergeCell ref="I35:M36"/>
    <mergeCell ref="J47:L47"/>
    <mergeCell ref="B2:J6"/>
    <mergeCell ref="B7:J10"/>
    <mergeCell ref="B13:F14"/>
    <mergeCell ref="C23:E23"/>
    <mergeCell ref="B26:F27"/>
    <mergeCell ref="I26:M2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B2:Q42"/>
  <sheetViews>
    <sheetView workbookViewId="0"/>
  </sheetViews>
  <sheetFormatPr defaultColWidth="14.42578125" defaultRowHeight="15" customHeight="1"/>
  <cols>
    <col min="3" max="3" width="28.85546875" customWidth="1"/>
    <col min="4" max="4" width="15.85546875" customWidth="1"/>
    <col min="5" max="5" width="15" customWidth="1"/>
    <col min="8" max="8" width="15.7109375" customWidth="1"/>
    <col min="16" max="16" width="13.42578125" customWidth="1"/>
    <col min="17" max="17" width="17.5703125" customWidth="1"/>
  </cols>
  <sheetData>
    <row r="2" spans="2:8">
      <c r="B2" s="240" t="s">
        <v>68</v>
      </c>
      <c r="C2" s="221"/>
      <c r="D2" s="221"/>
      <c r="E2" s="221"/>
      <c r="F2" s="221"/>
      <c r="G2" s="221"/>
      <c r="H2" s="222"/>
    </row>
    <row r="3" spans="2:8">
      <c r="B3" s="227"/>
      <c r="C3" s="228"/>
      <c r="D3" s="228"/>
      <c r="E3" s="228"/>
      <c r="F3" s="228"/>
      <c r="G3" s="228"/>
      <c r="H3" s="229"/>
    </row>
    <row r="4" spans="2:8">
      <c r="B4" s="241" t="s">
        <v>69</v>
      </c>
      <c r="C4" s="233"/>
      <c r="D4" s="42" t="s">
        <v>70</v>
      </c>
      <c r="E4" s="42" t="s">
        <v>71</v>
      </c>
      <c r="F4" s="42" t="s">
        <v>72</v>
      </c>
      <c r="G4" s="242" t="s">
        <v>73</v>
      </c>
      <c r="H4" s="233"/>
    </row>
    <row r="5" spans="2:8">
      <c r="B5" s="243" t="s">
        <v>74</v>
      </c>
      <c r="C5" s="233"/>
      <c r="D5" s="43"/>
      <c r="E5" s="44"/>
      <c r="F5" s="44"/>
      <c r="G5" s="244"/>
      <c r="H5" s="233"/>
    </row>
    <row r="6" spans="2:8">
      <c r="B6" s="45">
        <v>1</v>
      </c>
      <c r="C6" s="45" t="s">
        <v>75</v>
      </c>
      <c r="D6" s="44">
        <f>Investicija!F23</f>
        <v>2228500</v>
      </c>
      <c r="E6" s="44">
        <f t="shared" ref="E6:E11" si="0">D6-F6</f>
        <v>2228500</v>
      </c>
      <c r="F6" s="44"/>
      <c r="G6" s="245">
        <f t="shared" ref="G6:G10" si="1">D6/$D$12</f>
        <v>0.69929033970388776</v>
      </c>
      <c r="H6" s="233"/>
    </row>
    <row r="7" spans="2:8">
      <c r="B7" s="45">
        <v>2</v>
      </c>
      <c r="C7" s="45" t="s">
        <v>76</v>
      </c>
      <c r="D7" s="44">
        <f>Investicija!F35</f>
        <v>937024.01</v>
      </c>
      <c r="E7" s="44">
        <f t="shared" si="0"/>
        <v>437024.01</v>
      </c>
      <c r="F7" s="44">
        <v>500000</v>
      </c>
      <c r="G7" s="245">
        <f t="shared" si="1"/>
        <v>0.29403268488382284</v>
      </c>
      <c r="H7" s="233"/>
    </row>
    <row r="8" spans="2:8">
      <c r="B8" s="46">
        <v>3</v>
      </c>
      <c r="C8" s="47" t="s">
        <v>77</v>
      </c>
      <c r="D8" s="48">
        <f>Investicija!F51</f>
        <v>18078.82</v>
      </c>
      <c r="E8" s="48">
        <f t="shared" si="0"/>
        <v>18078.82</v>
      </c>
      <c r="F8" s="48"/>
      <c r="G8" s="245">
        <f t="shared" si="1"/>
        <v>5.6730285749362532E-3</v>
      </c>
      <c r="H8" s="233"/>
    </row>
    <row r="9" spans="2:8">
      <c r="B9" s="45">
        <v>4</v>
      </c>
      <c r="C9" s="45" t="s">
        <v>78</v>
      </c>
      <c r="D9" s="44">
        <f>Investicija!F61</f>
        <v>2659.54</v>
      </c>
      <c r="E9" s="44">
        <f t="shared" si="0"/>
        <v>2659.54</v>
      </c>
      <c r="F9" s="44"/>
      <c r="G9" s="245">
        <f t="shared" si="1"/>
        <v>8.345481849028843E-4</v>
      </c>
      <c r="H9" s="233"/>
    </row>
    <row r="10" spans="2:8">
      <c r="B10" s="45">
        <v>5</v>
      </c>
      <c r="C10" s="45" t="s">
        <v>79</v>
      </c>
      <c r="D10" s="44">
        <f>Investicija!F73</f>
        <v>539.84</v>
      </c>
      <c r="E10" s="44">
        <f t="shared" si="0"/>
        <v>539.84</v>
      </c>
      <c r="F10" s="44"/>
      <c r="G10" s="245">
        <f t="shared" si="1"/>
        <v>1.6939865245041365E-4</v>
      </c>
      <c r="H10" s="233"/>
    </row>
    <row r="11" spans="2:8">
      <c r="B11" s="243" t="s">
        <v>80</v>
      </c>
      <c r="C11" s="233"/>
      <c r="D11" s="43">
        <v>0</v>
      </c>
      <c r="E11" s="44">
        <f t="shared" si="0"/>
        <v>0</v>
      </c>
      <c r="F11" s="44"/>
      <c r="G11" s="245"/>
      <c r="H11" s="233"/>
    </row>
    <row r="12" spans="2:8">
      <c r="B12" s="246" t="s">
        <v>81</v>
      </c>
      <c r="C12" s="233"/>
      <c r="D12" s="49">
        <f t="shared" ref="D12:F12" si="2">SUM(D5:D11)</f>
        <v>3186802.2099999995</v>
      </c>
      <c r="E12" s="49">
        <f t="shared" si="2"/>
        <v>2686802.2099999995</v>
      </c>
      <c r="F12" s="49">
        <f t="shared" si="2"/>
        <v>500000</v>
      </c>
      <c r="G12" s="245">
        <f>D12/$D$12</f>
        <v>1</v>
      </c>
      <c r="H12" s="233"/>
    </row>
    <row r="13" spans="2:8">
      <c r="B13" s="247" t="s">
        <v>82</v>
      </c>
      <c r="C13" s="233"/>
      <c r="D13" s="50">
        <f>SUM(E13:F13)</f>
        <v>1</v>
      </c>
      <c r="E13" s="50">
        <f>E12/D12</f>
        <v>0.84310290785194353</v>
      </c>
      <c r="F13" s="50">
        <f>F12/D12</f>
        <v>0.1568970921480565</v>
      </c>
      <c r="G13" s="244"/>
      <c r="H13" s="233"/>
    </row>
    <row r="16" spans="2:8">
      <c r="B16" s="251" t="s">
        <v>83</v>
      </c>
      <c r="C16" s="252"/>
      <c r="D16" s="252"/>
      <c r="E16" s="252"/>
      <c r="F16" s="253"/>
    </row>
    <row r="17" spans="2:17">
      <c r="B17" s="254"/>
      <c r="C17" s="228"/>
      <c r="D17" s="228"/>
      <c r="E17" s="228"/>
      <c r="F17" s="255"/>
    </row>
    <row r="18" spans="2:17">
      <c r="B18" s="256" t="s">
        <v>69</v>
      </c>
      <c r="C18" s="257"/>
      <c r="D18" s="51" t="s">
        <v>70</v>
      </c>
      <c r="E18" s="51" t="s">
        <v>84</v>
      </c>
      <c r="F18" s="51" t="s">
        <v>85</v>
      </c>
    </row>
    <row r="19" spans="2:17">
      <c r="B19" s="243" t="s">
        <v>74</v>
      </c>
      <c r="C19" s="233"/>
      <c r="D19" s="43"/>
      <c r="E19" s="43"/>
      <c r="F19" s="44"/>
    </row>
    <row r="20" spans="2:17">
      <c r="B20" s="52">
        <v>1</v>
      </c>
      <c r="C20" s="47" t="s">
        <v>86</v>
      </c>
      <c r="D20" s="48">
        <f t="shared" ref="D20:D21" si="3">D6</f>
        <v>2228500</v>
      </c>
      <c r="E20" s="53">
        <v>0.25</v>
      </c>
      <c r="F20" s="48">
        <f t="shared" ref="F20:F24" si="4">D20*E20</f>
        <v>557125</v>
      </c>
    </row>
    <row r="21" spans="2:17">
      <c r="B21" s="46">
        <v>2</v>
      </c>
      <c r="C21" s="47" t="s">
        <v>87</v>
      </c>
      <c r="D21" s="48">
        <f t="shared" si="3"/>
        <v>937024.01</v>
      </c>
      <c r="E21" s="53">
        <v>0.05</v>
      </c>
      <c r="F21" s="48">
        <f t="shared" si="4"/>
        <v>46851.200500000006</v>
      </c>
    </row>
    <row r="22" spans="2:17">
      <c r="B22" s="46">
        <v>3</v>
      </c>
      <c r="C22" s="47" t="s">
        <v>88</v>
      </c>
      <c r="D22" s="8">
        <f>D9</f>
        <v>2659.54</v>
      </c>
      <c r="E22" s="54">
        <v>0.5</v>
      </c>
      <c r="F22" s="48">
        <f t="shared" si="4"/>
        <v>1329.77</v>
      </c>
    </row>
    <row r="23" spans="2:17">
      <c r="B23" s="46">
        <v>4</v>
      </c>
      <c r="C23" s="47" t="s">
        <v>89</v>
      </c>
      <c r="D23" s="8">
        <f>D8</f>
        <v>18078.82</v>
      </c>
      <c r="E23" s="54">
        <v>0.25</v>
      </c>
      <c r="F23" s="48">
        <f t="shared" si="4"/>
        <v>4519.7049999999999</v>
      </c>
    </row>
    <row r="24" spans="2:17">
      <c r="B24" s="46">
        <v>5</v>
      </c>
      <c r="C24" s="47" t="s">
        <v>90</v>
      </c>
      <c r="D24" s="48">
        <f>D10</f>
        <v>539.84</v>
      </c>
      <c r="E24" s="53">
        <v>0.25</v>
      </c>
      <c r="F24" s="48">
        <f t="shared" si="4"/>
        <v>134.96</v>
      </c>
    </row>
    <row r="25" spans="2:17">
      <c r="B25" s="258" t="s">
        <v>91</v>
      </c>
      <c r="C25" s="233"/>
      <c r="D25" s="55">
        <f>SUM(D20:D24)</f>
        <v>3186802.2099999995</v>
      </c>
      <c r="E25" s="56"/>
      <c r="F25" s="55">
        <f>SUM(F20:F24)</f>
        <v>609960.63549999997</v>
      </c>
    </row>
    <row r="28" spans="2:17">
      <c r="B28" s="251" t="s">
        <v>92</v>
      </c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3"/>
    </row>
    <row r="29" spans="2:17">
      <c r="B29" s="259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1"/>
    </row>
    <row r="30" spans="2:17">
      <c r="B30" s="262" t="s">
        <v>93</v>
      </c>
      <c r="C30" s="262" t="s">
        <v>94</v>
      </c>
      <c r="D30" s="262" t="s">
        <v>95</v>
      </c>
      <c r="E30" s="262" t="s">
        <v>96</v>
      </c>
      <c r="F30" s="248" t="s">
        <v>97</v>
      </c>
      <c r="G30" s="232"/>
      <c r="H30" s="232"/>
      <c r="I30" s="232"/>
      <c r="J30" s="232"/>
      <c r="K30" s="232"/>
      <c r="L30" s="232"/>
      <c r="M30" s="232"/>
      <c r="N30" s="232"/>
      <c r="O30" s="233"/>
      <c r="P30" s="249" t="s">
        <v>98</v>
      </c>
      <c r="Q30" s="263" t="s">
        <v>99</v>
      </c>
    </row>
    <row r="31" spans="2:17">
      <c r="B31" s="250"/>
      <c r="C31" s="250"/>
      <c r="D31" s="250"/>
      <c r="E31" s="250"/>
      <c r="F31" s="57">
        <v>2025</v>
      </c>
      <c r="G31" s="57">
        <v>2026</v>
      </c>
      <c r="H31" s="57">
        <v>2027</v>
      </c>
      <c r="I31" s="57">
        <v>2028</v>
      </c>
      <c r="J31" s="57">
        <v>2029</v>
      </c>
      <c r="K31" s="57">
        <v>2030</v>
      </c>
      <c r="L31" s="57">
        <v>2031</v>
      </c>
      <c r="M31" s="57">
        <v>2032</v>
      </c>
      <c r="N31" s="57">
        <v>2033</v>
      </c>
      <c r="O31" s="57">
        <v>2034</v>
      </c>
      <c r="P31" s="250"/>
      <c r="Q31" s="250"/>
    </row>
    <row r="32" spans="2:17">
      <c r="B32" s="58" t="s">
        <v>100</v>
      </c>
      <c r="C32" s="58" t="s">
        <v>101</v>
      </c>
      <c r="D32" s="43"/>
      <c r="E32" s="43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59"/>
      <c r="Q32" s="59"/>
    </row>
    <row r="33" spans="2:17">
      <c r="B33" s="265" t="s">
        <v>86</v>
      </c>
      <c r="C33" s="233"/>
      <c r="D33" s="48">
        <f t="shared" ref="D33:E33" si="5">D20</f>
        <v>2228500</v>
      </c>
      <c r="E33" s="53">
        <f t="shared" si="5"/>
        <v>0.25</v>
      </c>
      <c r="F33" s="48">
        <f>D33*E33</f>
        <v>557125</v>
      </c>
      <c r="G33" s="48">
        <f t="shared" ref="G33:I33" si="6">F33</f>
        <v>557125</v>
      </c>
      <c r="H33" s="48">
        <f t="shared" si="6"/>
        <v>557125</v>
      </c>
      <c r="I33" s="48">
        <f t="shared" si="6"/>
        <v>557125</v>
      </c>
      <c r="J33" s="48">
        <v>0</v>
      </c>
      <c r="K33" s="48">
        <f t="shared" ref="K33:O33" si="7">J33</f>
        <v>0</v>
      </c>
      <c r="L33" s="48">
        <f t="shared" si="7"/>
        <v>0</v>
      </c>
      <c r="M33" s="48">
        <f t="shared" si="7"/>
        <v>0</v>
      </c>
      <c r="N33" s="48">
        <f t="shared" si="7"/>
        <v>0</v>
      </c>
      <c r="O33" s="48">
        <f t="shared" si="7"/>
        <v>0</v>
      </c>
      <c r="P33" s="60">
        <f t="shared" ref="P33:P37" si="8">SUM(F33:O33)</f>
        <v>2228500</v>
      </c>
      <c r="Q33" s="60">
        <f t="shared" ref="Q33:Q38" si="9">D33-P33</f>
        <v>0</v>
      </c>
    </row>
    <row r="34" spans="2:17">
      <c r="B34" s="265" t="s">
        <v>87</v>
      </c>
      <c r="C34" s="233"/>
      <c r="D34" s="48">
        <f t="shared" ref="D34:E34" si="10">D21</f>
        <v>937024.01</v>
      </c>
      <c r="E34" s="53">
        <f t="shared" si="10"/>
        <v>0.05</v>
      </c>
      <c r="F34" s="48">
        <f t="shared" ref="F34:O34" si="11">$D$34*$E$34</f>
        <v>46851.200500000006</v>
      </c>
      <c r="G34" s="48">
        <f t="shared" si="11"/>
        <v>46851.200500000006</v>
      </c>
      <c r="H34" s="48">
        <f t="shared" si="11"/>
        <v>46851.200500000006</v>
      </c>
      <c r="I34" s="48">
        <f t="shared" si="11"/>
        <v>46851.200500000006</v>
      </c>
      <c r="J34" s="48">
        <f t="shared" si="11"/>
        <v>46851.200500000006</v>
      </c>
      <c r="K34" s="48">
        <f t="shared" si="11"/>
        <v>46851.200500000006</v>
      </c>
      <c r="L34" s="48">
        <f t="shared" si="11"/>
        <v>46851.200500000006</v>
      </c>
      <c r="M34" s="48">
        <f t="shared" si="11"/>
        <v>46851.200500000006</v>
      </c>
      <c r="N34" s="48">
        <f t="shared" si="11"/>
        <v>46851.200500000006</v>
      </c>
      <c r="O34" s="48">
        <f t="shared" si="11"/>
        <v>46851.200500000006</v>
      </c>
      <c r="P34" s="60">
        <f t="shared" si="8"/>
        <v>468512.00500000012</v>
      </c>
      <c r="Q34" s="60">
        <f t="shared" si="9"/>
        <v>468512.00499999989</v>
      </c>
    </row>
    <row r="35" spans="2:17">
      <c r="B35" s="243" t="s">
        <v>88</v>
      </c>
      <c r="C35" s="233"/>
      <c r="D35" s="48">
        <f t="shared" ref="D35:E35" si="12">D22</f>
        <v>2659.54</v>
      </c>
      <c r="E35" s="53">
        <f t="shared" si="12"/>
        <v>0.5</v>
      </c>
      <c r="F35" s="48">
        <f t="shared" ref="F35:G35" si="13">$D$35*$E$35</f>
        <v>1329.77</v>
      </c>
      <c r="G35" s="48">
        <f t="shared" si="13"/>
        <v>1329.77</v>
      </c>
      <c r="H35" s="48">
        <v>0</v>
      </c>
      <c r="I35" s="48">
        <v>0</v>
      </c>
      <c r="J35" s="48">
        <v>0</v>
      </c>
      <c r="K35" s="48">
        <v>0</v>
      </c>
      <c r="L35" s="48">
        <v>0</v>
      </c>
      <c r="M35" s="48">
        <v>0</v>
      </c>
      <c r="N35" s="48">
        <v>0</v>
      </c>
      <c r="O35" s="48">
        <v>0</v>
      </c>
      <c r="P35" s="60">
        <f t="shared" si="8"/>
        <v>2659.54</v>
      </c>
      <c r="Q35" s="60">
        <f t="shared" si="9"/>
        <v>0</v>
      </c>
    </row>
    <row r="36" spans="2:17">
      <c r="B36" s="243" t="s">
        <v>89</v>
      </c>
      <c r="C36" s="233"/>
      <c r="D36" s="48">
        <f t="shared" ref="D36:E36" si="14">D23</f>
        <v>18078.82</v>
      </c>
      <c r="E36" s="53">
        <f t="shared" si="14"/>
        <v>0.25</v>
      </c>
      <c r="F36" s="48">
        <f t="shared" ref="F36:I36" si="15">$D$36*$E$36</f>
        <v>4519.7049999999999</v>
      </c>
      <c r="G36" s="48">
        <f t="shared" si="15"/>
        <v>4519.7049999999999</v>
      </c>
      <c r="H36" s="48">
        <f t="shared" si="15"/>
        <v>4519.7049999999999</v>
      </c>
      <c r="I36" s="48">
        <f t="shared" si="15"/>
        <v>4519.7049999999999</v>
      </c>
      <c r="J36" s="48">
        <v>0</v>
      </c>
      <c r="K36" s="48">
        <v>0</v>
      </c>
      <c r="L36" s="48">
        <v>0</v>
      </c>
      <c r="M36" s="48">
        <v>0</v>
      </c>
      <c r="N36" s="48">
        <v>0</v>
      </c>
      <c r="O36" s="48">
        <v>0</v>
      </c>
      <c r="P36" s="60">
        <f t="shared" si="8"/>
        <v>18078.82</v>
      </c>
      <c r="Q36" s="60">
        <f t="shared" si="9"/>
        <v>0</v>
      </c>
    </row>
    <row r="37" spans="2:17">
      <c r="B37" s="243" t="s">
        <v>90</v>
      </c>
      <c r="C37" s="233"/>
      <c r="D37" s="48">
        <f t="shared" ref="D37:E37" si="16">D24</f>
        <v>539.84</v>
      </c>
      <c r="E37" s="53">
        <f t="shared" si="16"/>
        <v>0.25</v>
      </c>
      <c r="F37" s="48">
        <f t="shared" ref="F37:I37" si="17">$D$37*$E$37</f>
        <v>134.96</v>
      </c>
      <c r="G37" s="48">
        <f t="shared" si="17"/>
        <v>134.96</v>
      </c>
      <c r="H37" s="48">
        <f t="shared" si="17"/>
        <v>134.96</v>
      </c>
      <c r="I37" s="48">
        <f t="shared" si="17"/>
        <v>134.96</v>
      </c>
      <c r="J37" s="48">
        <v>0</v>
      </c>
      <c r="K37" s="48">
        <v>0</v>
      </c>
      <c r="L37" s="48">
        <v>0</v>
      </c>
      <c r="M37" s="48">
        <v>0</v>
      </c>
      <c r="N37" s="48">
        <v>0</v>
      </c>
      <c r="O37" s="48">
        <v>0</v>
      </c>
      <c r="P37" s="60">
        <f t="shared" si="8"/>
        <v>539.84</v>
      </c>
      <c r="Q37" s="60">
        <f t="shared" si="9"/>
        <v>0</v>
      </c>
    </row>
    <row r="38" spans="2:17">
      <c r="B38" s="246" t="s">
        <v>102</v>
      </c>
      <c r="C38" s="233"/>
      <c r="D38" s="49">
        <f>SUM(D33:D37)</f>
        <v>3186802.2099999995</v>
      </c>
      <c r="E38" s="58">
        <f>E25</f>
        <v>0</v>
      </c>
      <c r="F38" s="49">
        <f t="shared" ref="F38:O38" si="18">SUM(F32:F37)</f>
        <v>609960.63549999997</v>
      </c>
      <c r="G38" s="49">
        <f t="shared" si="18"/>
        <v>609960.63549999997</v>
      </c>
      <c r="H38" s="49">
        <f t="shared" si="18"/>
        <v>608630.86549999996</v>
      </c>
      <c r="I38" s="49">
        <f t="shared" si="18"/>
        <v>608630.86549999996</v>
      </c>
      <c r="J38" s="49">
        <f t="shared" si="18"/>
        <v>46851.200500000006</v>
      </c>
      <c r="K38" s="49">
        <f t="shared" si="18"/>
        <v>46851.200500000006</v>
      </c>
      <c r="L38" s="49">
        <f t="shared" si="18"/>
        <v>46851.200500000006</v>
      </c>
      <c r="M38" s="49">
        <f t="shared" si="18"/>
        <v>46851.200500000006</v>
      </c>
      <c r="N38" s="49">
        <f t="shared" si="18"/>
        <v>46851.200500000006</v>
      </c>
      <c r="O38" s="49">
        <f t="shared" si="18"/>
        <v>46851.200500000006</v>
      </c>
      <c r="P38" s="49">
        <f>SUM(P33:P37)</f>
        <v>2718290.2049999996</v>
      </c>
      <c r="Q38" s="55">
        <f t="shared" si="9"/>
        <v>468512.00499999989</v>
      </c>
    </row>
    <row r="39" spans="2:17">
      <c r="B39" s="246" t="s">
        <v>103</v>
      </c>
      <c r="C39" s="233"/>
      <c r="D39" s="264">
        <f>D27</f>
        <v>0</v>
      </c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3"/>
    </row>
    <row r="40" spans="2:17">
      <c r="B40" s="243" t="s">
        <v>104</v>
      </c>
      <c r="C40" s="233"/>
      <c r="D40" s="44">
        <f>D38</f>
        <v>3186802.2099999995</v>
      </c>
      <c r="E40" s="43"/>
      <c r="F40" s="44">
        <f>D40-F38</f>
        <v>2576841.5744999996</v>
      </c>
      <c r="G40" s="44">
        <f t="shared" ref="G40:O40" si="19">F40-G38</f>
        <v>1966880.9389999998</v>
      </c>
      <c r="H40" s="44">
        <f t="shared" si="19"/>
        <v>1358250.0734999999</v>
      </c>
      <c r="I40" s="44">
        <f t="shared" si="19"/>
        <v>749619.20799999998</v>
      </c>
      <c r="J40" s="44">
        <f t="shared" si="19"/>
        <v>702768.00749999995</v>
      </c>
      <c r="K40" s="44">
        <f t="shared" si="19"/>
        <v>655916.80699999991</v>
      </c>
      <c r="L40" s="44">
        <f t="shared" si="19"/>
        <v>609065.60649999988</v>
      </c>
      <c r="M40" s="44">
        <f t="shared" si="19"/>
        <v>562214.40599999984</v>
      </c>
      <c r="N40" s="44">
        <f t="shared" si="19"/>
        <v>515363.20549999981</v>
      </c>
      <c r="O40" s="44">
        <f t="shared" si="19"/>
        <v>468512.00499999977</v>
      </c>
      <c r="P40" s="59"/>
      <c r="Q40" s="44">
        <f t="shared" ref="Q40:Q41" si="20">O40</f>
        <v>468512.00499999977</v>
      </c>
    </row>
    <row r="41" spans="2:17">
      <c r="B41" s="243" t="s">
        <v>105</v>
      </c>
      <c r="C41" s="233"/>
      <c r="D41" s="43">
        <f>D11</f>
        <v>0</v>
      </c>
      <c r="E41" s="43"/>
      <c r="F41" s="44">
        <f>TOBS!E29</f>
        <v>-23510.723298926867</v>
      </c>
      <c r="G41" s="44">
        <f>TOBS!F29</f>
        <v>-23377.181674864347</v>
      </c>
      <c r="H41" s="44">
        <f>TOBS!G29</f>
        <v>-14489.104365233157</v>
      </c>
      <c r="I41" s="44">
        <f>TOBS!H29</f>
        <v>-5941.3378973785293</v>
      </c>
      <c r="J41" s="44">
        <f>TOBS!I29</f>
        <v>6643.3246460634109</v>
      </c>
      <c r="K41" s="44">
        <f>TOBS!J29</f>
        <v>-1261.0628912303364</v>
      </c>
      <c r="L41" s="44">
        <f>TOBS!K29</f>
        <v>-1116.1315176850185</v>
      </c>
      <c r="M41" s="44">
        <f>TOBS!L29</f>
        <v>-965.67082490635221</v>
      </c>
      <c r="N41" s="44">
        <f>TOBS!M29</f>
        <v>-809.46986221853876</v>
      </c>
      <c r="O41" s="44">
        <f>TOBS!N29</f>
        <v>-647.30963090492878</v>
      </c>
      <c r="P41" s="59"/>
      <c r="Q41" s="44">
        <f t="shared" si="20"/>
        <v>-647.30963090492878</v>
      </c>
    </row>
    <row r="42" spans="2:17">
      <c r="B42" s="246" t="s">
        <v>17</v>
      </c>
      <c r="C42" s="233"/>
      <c r="D42" s="49">
        <f>SUM(D40:D41)</f>
        <v>3186802.2099999995</v>
      </c>
      <c r="E42" s="58"/>
      <c r="F42" s="49">
        <f t="shared" ref="F42:O42" si="21">SUM(F40:F41)</f>
        <v>2553330.8512010728</v>
      </c>
      <c r="G42" s="49">
        <f t="shared" si="21"/>
        <v>1943503.7573251354</v>
      </c>
      <c r="H42" s="49">
        <f t="shared" si="21"/>
        <v>1343760.9691347668</v>
      </c>
      <c r="I42" s="49">
        <f t="shared" si="21"/>
        <v>743677.8701026215</v>
      </c>
      <c r="J42" s="49">
        <f t="shared" si="21"/>
        <v>709411.33214606333</v>
      </c>
      <c r="K42" s="49">
        <f t="shared" si="21"/>
        <v>654655.74410876958</v>
      </c>
      <c r="L42" s="49">
        <f t="shared" si="21"/>
        <v>607949.47498231486</v>
      </c>
      <c r="M42" s="49">
        <f t="shared" si="21"/>
        <v>561248.73517509352</v>
      </c>
      <c r="N42" s="49">
        <f t="shared" si="21"/>
        <v>514553.73563778127</v>
      </c>
      <c r="O42" s="49">
        <f t="shared" si="21"/>
        <v>467864.69536909484</v>
      </c>
      <c r="P42" s="58"/>
      <c r="Q42" s="49">
        <f>SUM(Q40:Q41)</f>
        <v>467864.69536909484</v>
      </c>
    </row>
  </sheetData>
  <mergeCells count="39">
    <mergeCell ref="B38:C38"/>
    <mergeCell ref="B33:C33"/>
    <mergeCell ref="B34:C34"/>
    <mergeCell ref="B35:C35"/>
    <mergeCell ref="B36:C36"/>
    <mergeCell ref="B37:C37"/>
    <mergeCell ref="B40:C40"/>
    <mergeCell ref="B41:C41"/>
    <mergeCell ref="B39:C39"/>
    <mergeCell ref="B42:C42"/>
    <mergeCell ref="D39:Q39"/>
    <mergeCell ref="P30:P31"/>
    <mergeCell ref="B16:F17"/>
    <mergeCell ref="B18:C18"/>
    <mergeCell ref="B19:C19"/>
    <mergeCell ref="B25:C25"/>
    <mergeCell ref="B28:Q29"/>
    <mergeCell ref="B30:B31"/>
    <mergeCell ref="C30:C31"/>
    <mergeCell ref="Q30:Q31"/>
    <mergeCell ref="D30:D31"/>
    <mergeCell ref="E30:E31"/>
    <mergeCell ref="B11:C11"/>
    <mergeCell ref="G11:H11"/>
    <mergeCell ref="B12:C12"/>
    <mergeCell ref="B13:C13"/>
    <mergeCell ref="F30:O30"/>
    <mergeCell ref="G6:H6"/>
    <mergeCell ref="G7:H7"/>
    <mergeCell ref="G12:H12"/>
    <mergeCell ref="G13:H13"/>
    <mergeCell ref="G8:H8"/>
    <mergeCell ref="G9:H9"/>
    <mergeCell ref="G10:H10"/>
    <mergeCell ref="B2:H3"/>
    <mergeCell ref="B4:C4"/>
    <mergeCell ref="G4:H4"/>
    <mergeCell ref="B5:C5"/>
    <mergeCell ref="G5:H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Z945"/>
  <sheetViews>
    <sheetView workbookViewId="0"/>
  </sheetViews>
  <sheetFormatPr defaultColWidth="14.42578125" defaultRowHeight="15" customHeight="1"/>
  <cols>
    <col min="1" max="1" width="14.28515625" customWidth="1"/>
    <col min="2" max="2" width="18.28515625" customWidth="1"/>
    <col min="3" max="12" width="19.5703125" customWidth="1"/>
    <col min="14" max="14" width="18.28515625" customWidth="1"/>
  </cols>
  <sheetData>
    <row r="1" spans="1:26">
      <c r="B1" s="61"/>
    </row>
    <row r="2" spans="1:26">
      <c r="B2" s="266" t="s">
        <v>106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</row>
    <row r="3" spans="1:26" ht="15" customHeight="1"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</row>
    <row r="4" spans="1:26">
      <c r="B4" s="62" t="s">
        <v>107</v>
      </c>
      <c r="C4" s="63">
        <v>2025</v>
      </c>
      <c r="D4" s="63">
        <v>2026</v>
      </c>
      <c r="E4" s="63">
        <v>2027</v>
      </c>
      <c r="F4" s="63">
        <v>2028</v>
      </c>
      <c r="G4" s="63">
        <v>2029</v>
      </c>
      <c r="H4" s="63">
        <v>2030</v>
      </c>
      <c r="I4" s="63">
        <v>2031</v>
      </c>
      <c r="J4" s="63">
        <v>2032</v>
      </c>
      <c r="K4" s="63">
        <v>2033</v>
      </c>
      <c r="L4" s="63">
        <v>2034</v>
      </c>
    </row>
    <row r="5" spans="1:26">
      <c r="B5" s="64" t="s">
        <v>108</v>
      </c>
      <c r="C5" s="65">
        <f>G14</f>
        <v>1226880</v>
      </c>
      <c r="D5" s="65">
        <f>G20</f>
        <v>1226880</v>
      </c>
      <c r="E5" s="65">
        <f>G26</f>
        <v>1524096</v>
      </c>
      <c r="F5" s="65">
        <f>G32</f>
        <v>1814400</v>
      </c>
      <c r="G5" s="65">
        <f>G38</f>
        <v>2410560</v>
      </c>
      <c r="H5" s="66">
        <f t="shared" ref="H5:L5" si="0">$G$44</f>
        <v>2712960</v>
      </c>
      <c r="I5" s="66">
        <f t="shared" si="0"/>
        <v>2712960</v>
      </c>
      <c r="J5" s="66">
        <f t="shared" si="0"/>
        <v>2712960</v>
      </c>
      <c r="K5" s="66">
        <f t="shared" si="0"/>
        <v>2712960</v>
      </c>
      <c r="L5" s="66">
        <f t="shared" si="0"/>
        <v>2712960</v>
      </c>
    </row>
    <row r="6" spans="1:26"/>
    <row r="7" spans="1:26">
      <c r="B7" s="67" t="s">
        <v>109</v>
      </c>
      <c r="C7" s="68">
        <v>30</v>
      </c>
    </row>
    <row r="8" spans="1:26">
      <c r="B8" s="67" t="s">
        <v>110</v>
      </c>
      <c r="C8" s="68">
        <v>12</v>
      </c>
      <c r="Q8" s="69"/>
      <c r="R8" s="69"/>
      <c r="S8" s="69"/>
      <c r="T8" s="69"/>
      <c r="U8" s="69"/>
      <c r="V8" s="69"/>
    </row>
    <row r="9" spans="1:26" ht="15" customHeight="1">
      <c r="Q9" s="69"/>
      <c r="R9" s="69"/>
      <c r="S9" s="69"/>
      <c r="T9" s="69"/>
      <c r="U9" s="69"/>
      <c r="V9" s="69"/>
    </row>
    <row r="10" spans="1:26">
      <c r="Q10" s="69"/>
      <c r="R10" s="69"/>
      <c r="S10" s="69"/>
      <c r="T10" s="69"/>
      <c r="U10" s="69"/>
      <c r="V10" s="69"/>
    </row>
    <row r="11" spans="1:26">
      <c r="B11" s="251" t="s">
        <v>111</v>
      </c>
      <c r="C11" s="252"/>
      <c r="D11" s="252"/>
      <c r="E11" s="252"/>
      <c r="F11" s="252"/>
      <c r="G11" s="253"/>
      <c r="I11" s="251" t="s">
        <v>112</v>
      </c>
      <c r="J11" s="252"/>
      <c r="K11" s="252"/>
      <c r="L11" s="252"/>
      <c r="M11" s="252"/>
      <c r="N11" s="253"/>
      <c r="Q11" s="69"/>
      <c r="R11" s="69"/>
      <c r="S11" s="69"/>
      <c r="T11" s="69"/>
      <c r="U11" s="69"/>
      <c r="V11" s="69"/>
    </row>
    <row r="12" spans="1:26">
      <c r="B12" s="259"/>
      <c r="C12" s="260"/>
      <c r="D12" s="260"/>
      <c r="E12" s="260"/>
      <c r="F12" s="260"/>
      <c r="G12" s="261"/>
      <c r="I12" s="259"/>
      <c r="J12" s="260"/>
      <c r="K12" s="260"/>
      <c r="L12" s="260"/>
      <c r="M12" s="260"/>
      <c r="N12" s="261"/>
    </row>
    <row r="13" spans="1:26" ht="105">
      <c r="B13" s="57" t="s">
        <v>113</v>
      </c>
      <c r="C13" s="57" t="s">
        <v>114</v>
      </c>
      <c r="D13" s="57" t="s">
        <v>4</v>
      </c>
      <c r="E13" s="57" t="s">
        <v>5</v>
      </c>
      <c r="F13" s="70" t="s">
        <v>115</v>
      </c>
      <c r="G13" s="70" t="s">
        <v>116</v>
      </c>
      <c r="I13" s="71" t="s">
        <v>117</v>
      </c>
      <c r="J13" s="71" t="s">
        <v>118</v>
      </c>
      <c r="K13" s="72" t="s">
        <v>119</v>
      </c>
      <c r="L13" s="71" t="s">
        <v>120</v>
      </c>
      <c r="M13" s="71" t="s">
        <v>121</v>
      </c>
      <c r="N13" s="71" t="s">
        <v>122</v>
      </c>
    </row>
    <row r="14" spans="1:26" ht="30">
      <c r="A14" s="73"/>
      <c r="B14" s="47" t="s">
        <v>123</v>
      </c>
      <c r="C14" s="74" t="s">
        <v>124</v>
      </c>
      <c r="D14" s="75">
        <v>1.42</v>
      </c>
      <c r="E14" s="74">
        <f>N14</f>
        <v>72000</v>
      </c>
      <c r="F14" s="75">
        <f>D14*E14</f>
        <v>102240</v>
      </c>
      <c r="G14" s="75">
        <f>F14*C8</f>
        <v>1226880</v>
      </c>
      <c r="H14" s="73"/>
      <c r="I14" s="76">
        <v>5</v>
      </c>
      <c r="J14" s="76">
        <v>60</v>
      </c>
      <c r="K14" s="76">
        <v>8</v>
      </c>
      <c r="L14" s="76">
        <f>J14*K14</f>
        <v>480</v>
      </c>
      <c r="M14" s="76">
        <f>I14*L14</f>
        <v>2400</v>
      </c>
      <c r="N14" s="76">
        <f>M14*C7</f>
        <v>72000</v>
      </c>
      <c r="O14" s="77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/>
    <row r="16" spans="1:26">
      <c r="B16" s="78"/>
      <c r="C16" s="79"/>
      <c r="D16" s="80"/>
      <c r="E16" s="79"/>
      <c r="F16" s="80"/>
      <c r="G16" s="80"/>
    </row>
    <row r="17" spans="1:26">
      <c r="B17" s="251" t="s">
        <v>125</v>
      </c>
      <c r="C17" s="252"/>
      <c r="D17" s="252"/>
      <c r="E17" s="252"/>
      <c r="F17" s="252"/>
      <c r="G17" s="253"/>
      <c r="I17" s="251" t="s">
        <v>126</v>
      </c>
      <c r="J17" s="252"/>
      <c r="K17" s="252"/>
      <c r="L17" s="252"/>
      <c r="M17" s="252"/>
      <c r="N17" s="253"/>
    </row>
    <row r="18" spans="1:26">
      <c r="B18" s="259"/>
      <c r="C18" s="260"/>
      <c r="D18" s="260"/>
      <c r="E18" s="260"/>
      <c r="F18" s="260"/>
      <c r="G18" s="261"/>
      <c r="I18" s="259"/>
      <c r="J18" s="260"/>
      <c r="K18" s="260"/>
      <c r="L18" s="260"/>
      <c r="M18" s="260"/>
      <c r="N18" s="261"/>
    </row>
    <row r="19" spans="1:26" ht="105">
      <c r="B19" s="57" t="s">
        <v>113</v>
      </c>
      <c r="C19" s="57" t="s">
        <v>114</v>
      </c>
      <c r="D19" s="57" t="s">
        <v>4</v>
      </c>
      <c r="E19" s="57" t="s">
        <v>5</v>
      </c>
      <c r="F19" s="70" t="s">
        <v>115</v>
      </c>
      <c r="G19" s="70" t="s">
        <v>116</v>
      </c>
      <c r="I19" s="71" t="s">
        <v>117</v>
      </c>
      <c r="J19" s="71" t="s">
        <v>118</v>
      </c>
      <c r="K19" s="72" t="s">
        <v>119</v>
      </c>
      <c r="L19" s="71" t="s">
        <v>120</v>
      </c>
      <c r="M19" s="71" t="s">
        <v>121</v>
      </c>
      <c r="N19" s="71" t="s">
        <v>122</v>
      </c>
    </row>
    <row r="20" spans="1:26" ht="30">
      <c r="A20" s="73"/>
      <c r="B20" s="47" t="s">
        <v>123</v>
      </c>
      <c r="C20" s="74" t="s">
        <v>124</v>
      </c>
      <c r="D20" s="75">
        <v>1.42</v>
      </c>
      <c r="E20" s="74">
        <f>N20</f>
        <v>72000</v>
      </c>
      <c r="F20" s="75">
        <f>D20*E20</f>
        <v>102240</v>
      </c>
      <c r="G20" s="75">
        <f>F20*C8</f>
        <v>1226880</v>
      </c>
      <c r="H20" s="73"/>
      <c r="I20" s="76">
        <v>5</v>
      </c>
      <c r="J20" s="76">
        <v>60</v>
      </c>
      <c r="K20" s="76">
        <v>8</v>
      </c>
      <c r="L20" s="76">
        <f>J20*K20</f>
        <v>480</v>
      </c>
      <c r="M20" s="76">
        <f>I20*L20</f>
        <v>2400</v>
      </c>
      <c r="N20" s="76">
        <f>M20*C7</f>
        <v>72000</v>
      </c>
      <c r="O20" s="77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>
      <c r="B21" s="81"/>
      <c r="C21" s="81"/>
      <c r="D21" s="81"/>
      <c r="E21" s="81"/>
      <c r="F21" s="81"/>
      <c r="G21" s="81"/>
    </row>
    <row r="22" spans="1:26">
      <c r="B22" s="81"/>
      <c r="C22" s="81"/>
      <c r="D22" s="81"/>
      <c r="E22" s="81"/>
      <c r="F22" s="81"/>
      <c r="G22" s="81"/>
    </row>
    <row r="23" spans="1:26">
      <c r="B23" s="251" t="s">
        <v>127</v>
      </c>
      <c r="C23" s="252"/>
      <c r="D23" s="252"/>
      <c r="E23" s="252"/>
      <c r="F23" s="252"/>
      <c r="G23" s="253"/>
      <c r="I23" s="251" t="s">
        <v>128</v>
      </c>
      <c r="J23" s="252"/>
      <c r="K23" s="252"/>
      <c r="L23" s="252"/>
      <c r="M23" s="252"/>
      <c r="N23" s="253"/>
    </row>
    <row r="24" spans="1:26">
      <c r="B24" s="259"/>
      <c r="C24" s="260"/>
      <c r="D24" s="260"/>
      <c r="E24" s="260"/>
      <c r="F24" s="260"/>
      <c r="G24" s="261"/>
      <c r="I24" s="259"/>
      <c r="J24" s="260"/>
      <c r="K24" s="260"/>
      <c r="L24" s="260"/>
      <c r="M24" s="260"/>
      <c r="N24" s="261"/>
    </row>
    <row r="25" spans="1:26" ht="105">
      <c r="B25" s="57" t="s">
        <v>113</v>
      </c>
      <c r="C25" s="57" t="s">
        <v>114</v>
      </c>
      <c r="D25" s="57" t="s">
        <v>4</v>
      </c>
      <c r="E25" s="57" t="s">
        <v>5</v>
      </c>
      <c r="F25" s="70" t="s">
        <v>115</v>
      </c>
      <c r="G25" s="70" t="s">
        <v>116</v>
      </c>
      <c r="I25" s="71" t="s">
        <v>117</v>
      </c>
      <c r="J25" s="71" t="s">
        <v>118</v>
      </c>
      <c r="K25" s="72" t="s">
        <v>119</v>
      </c>
      <c r="L25" s="71" t="s">
        <v>120</v>
      </c>
      <c r="M25" s="71" t="s">
        <v>121</v>
      </c>
      <c r="N25" s="71" t="s">
        <v>122</v>
      </c>
    </row>
    <row r="26" spans="1:26" ht="30">
      <c r="A26" s="73"/>
      <c r="B26" s="47" t="s">
        <v>123</v>
      </c>
      <c r="C26" s="74" t="s">
        <v>124</v>
      </c>
      <c r="D26" s="75">
        <v>1.47</v>
      </c>
      <c r="E26" s="74">
        <f>N26</f>
        <v>86400</v>
      </c>
      <c r="F26" s="75">
        <f>D26*E26</f>
        <v>127008</v>
      </c>
      <c r="G26" s="75">
        <f>F26*C8</f>
        <v>1524096</v>
      </c>
      <c r="H26" s="73"/>
      <c r="I26" s="76">
        <v>6</v>
      </c>
      <c r="J26" s="76">
        <v>60</v>
      </c>
      <c r="K26" s="76">
        <v>8</v>
      </c>
      <c r="L26" s="76">
        <f>J26*K26</f>
        <v>480</v>
      </c>
      <c r="M26" s="76">
        <f>I26*L26</f>
        <v>2880</v>
      </c>
      <c r="N26" s="76">
        <f>M26*C7</f>
        <v>86400</v>
      </c>
      <c r="O26" s="77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>
      <c r="B27" s="81"/>
      <c r="C27" s="81"/>
      <c r="D27" s="81"/>
      <c r="E27" s="81"/>
      <c r="F27" s="81"/>
      <c r="G27" s="81"/>
    </row>
    <row r="28" spans="1:26">
      <c r="B28" s="81"/>
      <c r="C28" s="81"/>
      <c r="D28" s="81"/>
      <c r="E28" s="81"/>
      <c r="F28" s="81"/>
      <c r="G28" s="81"/>
    </row>
    <row r="29" spans="1:26">
      <c r="B29" s="251" t="s">
        <v>129</v>
      </c>
      <c r="C29" s="252"/>
      <c r="D29" s="252"/>
      <c r="E29" s="252"/>
      <c r="F29" s="252"/>
      <c r="G29" s="253"/>
      <c r="I29" s="251" t="s">
        <v>130</v>
      </c>
      <c r="J29" s="252"/>
      <c r="K29" s="252"/>
      <c r="L29" s="252"/>
      <c r="M29" s="252"/>
      <c r="N29" s="253"/>
    </row>
    <row r="30" spans="1:26">
      <c r="B30" s="259"/>
      <c r="C30" s="260"/>
      <c r="D30" s="260"/>
      <c r="E30" s="260"/>
      <c r="F30" s="260"/>
      <c r="G30" s="261"/>
      <c r="I30" s="259"/>
      <c r="J30" s="260"/>
      <c r="K30" s="260"/>
      <c r="L30" s="260"/>
      <c r="M30" s="260"/>
      <c r="N30" s="261"/>
    </row>
    <row r="31" spans="1:26" ht="105">
      <c r="B31" s="57" t="s">
        <v>113</v>
      </c>
      <c r="C31" s="57" t="s">
        <v>114</v>
      </c>
      <c r="D31" s="57" t="s">
        <v>4</v>
      </c>
      <c r="E31" s="57" t="s">
        <v>5</v>
      </c>
      <c r="F31" s="70" t="s">
        <v>115</v>
      </c>
      <c r="G31" s="70" t="s">
        <v>116</v>
      </c>
      <c r="I31" s="71" t="s">
        <v>117</v>
      </c>
      <c r="J31" s="71" t="s">
        <v>118</v>
      </c>
      <c r="K31" s="72" t="s">
        <v>119</v>
      </c>
      <c r="L31" s="71" t="s">
        <v>120</v>
      </c>
      <c r="M31" s="71" t="s">
        <v>121</v>
      </c>
      <c r="N31" s="71" t="s">
        <v>122</v>
      </c>
    </row>
    <row r="32" spans="1:26" ht="30">
      <c r="A32" s="73"/>
      <c r="B32" s="47" t="s">
        <v>123</v>
      </c>
      <c r="C32" s="74" t="s">
        <v>124</v>
      </c>
      <c r="D32" s="75">
        <v>1.5</v>
      </c>
      <c r="E32" s="74">
        <f>N32</f>
        <v>100800</v>
      </c>
      <c r="F32" s="75">
        <f>D32*E32</f>
        <v>151200</v>
      </c>
      <c r="G32" s="75">
        <f>F32*C8</f>
        <v>1814400</v>
      </c>
      <c r="H32" s="73"/>
      <c r="I32" s="76">
        <v>7</v>
      </c>
      <c r="J32" s="76">
        <v>60</v>
      </c>
      <c r="K32" s="76">
        <v>8</v>
      </c>
      <c r="L32" s="76">
        <f>J32*K32</f>
        <v>480</v>
      </c>
      <c r="M32" s="76">
        <f>I32*L32</f>
        <v>3360</v>
      </c>
      <c r="N32" s="76">
        <f>M32*C7</f>
        <v>100800</v>
      </c>
      <c r="O32" s="77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>
      <c r="B33" s="81"/>
      <c r="C33" s="81"/>
      <c r="D33" s="81"/>
      <c r="E33" s="81"/>
      <c r="F33" s="81"/>
      <c r="G33" s="81"/>
    </row>
    <row r="34" spans="1:26">
      <c r="B34" s="81"/>
      <c r="C34" s="81"/>
      <c r="D34" s="81"/>
      <c r="E34" s="81"/>
      <c r="F34" s="81"/>
      <c r="G34" s="81"/>
    </row>
    <row r="35" spans="1:26">
      <c r="B35" s="251" t="s">
        <v>131</v>
      </c>
      <c r="C35" s="252"/>
      <c r="D35" s="252"/>
      <c r="E35" s="252"/>
      <c r="F35" s="252"/>
      <c r="G35" s="253"/>
      <c r="I35" s="251" t="s">
        <v>132</v>
      </c>
      <c r="J35" s="252"/>
      <c r="K35" s="252"/>
      <c r="L35" s="252"/>
      <c r="M35" s="252"/>
      <c r="N35" s="253"/>
    </row>
    <row r="36" spans="1:26">
      <c r="B36" s="259"/>
      <c r="C36" s="260"/>
      <c r="D36" s="260"/>
      <c r="E36" s="260"/>
      <c r="F36" s="260"/>
      <c r="G36" s="261"/>
      <c r="I36" s="259"/>
      <c r="J36" s="260"/>
      <c r="K36" s="260"/>
      <c r="L36" s="260"/>
      <c r="M36" s="260"/>
      <c r="N36" s="261"/>
    </row>
    <row r="37" spans="1:26" ht="105">
      <c r="B37" s="57" t="s">
        <v>113</v>
      </c>
      <c r="C37" s="57" t="s">
        <v>114</v>
      </c>
      <c r="D37" s="57" t="s">
        <v>4</v>
      </c>
      <c r="E37" s="57" t="s">
        <v>5</v>
      </c>
      <c r="F37" s="70" t="s">
        <v>115</v>
      </c>
      <c r="G37" s="70" t="s">
        <v>116</v>
      </c>
      <c r="I37" s="71" t="s">
        <v>117</v>
      </c>
      <c r="J37" s="71" t="s">
        <v>118</v>
      </c>
      <c r="K37" s="72" t="s">
        <v>119</v>
      </c>
      <c r="L37" s="71" t="s">
        <v>120</v>
      </c>
      <c r="M37" s="71" t="s">
        <v>121</v>
      </c>
      <c r="N37" s="71" t="s">
        <v>122</v>
      </c>
    </row>
    <row r="38" spans="1:26" ht="30">
      <c r="A38" s="73"/>
      <c r="B38" s="47" t="s">
        <v>123</v>
      </c>
      <c r="C38" s="74" t="s">
        <v>124</v>
      </c>
      <c r="D38" s="75">
        <v>1.55</v>
      </c>
      <c r="E38" s="74">
        <f>N38</f>
        <v>129600</v>
      </c>
      <c r="F38" s="75">
        <f>D38*E38</f>
        <v>200880</v>
      </c>
      <c r="G38" s="75">
        <f>F38*C8</f>
        <v>2410560</v>
      </c>
      <c r="H38" s="73"/>
      <c r="I38" s="76">
        <v>9</v>
      </c>
      <c r="J38" s="76">
        <v>60</v>
      </c>
      <c r="K38" s="76">
        <v>8</v>
      </c>
      <c r="L38" s="76">
        <f>J38*K38</f>
        <v>480</v>
      </c>
      <c r="M38" s="76">
        <f>I38*L38</f>
        <v>4320</v>
      </c>
      <c r="N38" s="76">
        <f>M38*C7</f>
        <v>129600</v>
      </c>
      <c r="O38" s="77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>
      <c r="B39" s="81"/>
      <c r="C39" s="81"/>
      <c r="D39" s="81"/>
      <c r="E39" s="81"/>
      <c r="F39" s="81"/>
      <c r="G39" s="81"/>
    </row>
    <row r="40" spans="1:26">
      <c r="B40" s="81"/>
      <c r="C40" s="81"/>
      <c r="D40" s="81"/>
      <c r="E40" s="81"/>
      <c r="F40" s="81"/>
      <c r="G40" s="81"/>
    </row>
    <row r="41" spans="1:26">
      <c r="B41" s="251" t="s">
        <v>133</v>
      </c>
      <c r="C41" s="252"/>
      <c r="D41" s="252"/>
      <c r="E41" s="252"/>
      <c r="F41" s="252"/>
      <c r="G41" s="253"/>
      <c r="I41" s="251" t="s">
        <v>134</v>
      </c>
      <c r="J41" s="252"/>
      <c r="K41" s="252"/>
      <c r="L41" s="252"/>
      <c r="M41" s="252"/>
      <c r="N41" s="253"/>
    </row>
    <row r="42" spans="1:26">
      <c r="B42" s="259"/>
      <c r="C42" s="260"/>
      <c r="D42" s="260"/>
      <c r="E42" s="260"/>
      <c r="F42" s="260"/>
      <c r="G42" s="261"/>
      <c r="I42" s="259"/>
      <c r="J42" s="260"/>
      <c r="K42" s="260"/>
      <c r="L42" s="260"/>
      <c r="M42" s="260"/>
      <c r="N42" s="261"/>
    </row>
    <row r="43" spans="1:26" ht="105">
      <c r="B43" s="57" t="s">
        <v>113</v>
      </c>
      <c r="C43" s="57" t="s">
        <v>114</v>
      </c>
      <c r="D43" s="57" t="s">
        <v>4</v>
      </c>
      <c r="E43" s="57" t="s">
        <v>5</v>
      </c>
      <c r="F43" s="70" t="s">
        <v>115</v>
      </c>
      <c r="G43" s="70" t="s">
        <v>116</v>
      </c>
      <c r="I43" s="71" t="s">
        <v>117</v>
      </c>
      <c r="J43" s="71" t="s">
        <v>118</v>
      </c>
      <c r="K43" s="72" t="s">
        <v>119</v>
      </c>
      <c r="L43" s="71" t="s">
        <v>120</v>
      </c>
      <c r="M43" s="71" t="s">
        <v>121</v>
      </c>
      <c r="N43" s="71" t="s">
        <v>122</v>
      </c>
    </row>
    <row r="44" spans="1:26" ht="30">
      <c r="A44" s="73"/>
      <c r="B44" s="47" t="s">
        <v>123</v>
      </c>
      <c r="C44" s="74" t="s">
        <v>124</v>
      </c>
      <c r="D44" s="75">
        <v>1.57</v>
      </c>
      <c r="E44" s="74">
        <f>N44</f>
        <v>144000</v>
      </c>
      <c r="F44" s="75">
        <f>D44*E44</f>
        <v>226080</v>
      </c>
      <c r="G44" s="75">
        <f>F44*C8</f>
        <v>2712960</v>
      </c>
      <c r="H44" s="73"/>
      <c r="I44" s="76">
        <v>10</v>
      </c>
      <c r="J44" s="76">
        <v>60</v>
      </c>
      <c r="K44" s="76">
        <v>8</v>
      </c>
      <c r="L44" s="76">
        <f>J44*K44</f>
        <v>480</v>
      </c>
      <c r="M44" s="76">
        <f>I44*L44</f>
        <v>4800</v>
      </c>
      <c r="N44" s="76">
        <f>M44*C7</f>
        <v>144000</v>
      </c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>
      <c r="B45" s="81"/>
      <c r="C45" s="81"/>
      <c r="D45" s="81"/>
      <c r="E45" s="81"/>
      <c r="F45" s="81"/>
      <c r="G45" s="81"/>
    </row>
    <row r="46" spans="1:26">
      <c r="B46" s="81"/>
      <c r="C46" s="81"/>
      <c r="D46" s="81"/>
      <c r="E46" s="81"/>
      <c r="F46" s="81"/>
      <c r="G46" s="81"/>
    </row>
    <row r="47" spans="1:26">
      <c r="B47" s="81"/>
      <c r="C47" s="81"/>
      <c r="D47" s="81"/>
      <c r="E47" s="81"/>
      <c r="F47" s="81"/>
      <c r="G47" s="81"/>
    </row>
    <row r="48" spans="1:26">
      <c r="B48" s="81"/>
      <c r="C48" s="81"/>
      <c r="D48" s="81"/>
      <c r="E48" s="81"/>
      <c r="F48" s="81"/>
      <c r="G48" s="81"/>
    </row>
    <row r="49" spans="2:7">
      <c r="B49" s="81"/>
      <c r="C49" s="81"/>
      <c r="D49" s="81"/>
      <c r="E49" s="81"/>
      <c r="F49" s="81"/>
      <c r="G49" s="81"/>
    </row>
    <row r="50" spans="2:7">
      <c r="B50" s="81"/>
      <c r="C50" s="81"/>
      <c r="D50" s="81"/>
      <c r="E50" s="81"/>
      <c r="F50" s="81"/>
      <c r="G50" s="81"/>
    </row>
    <row r="51" spans="2:7">
      <c r="B51" s="81"/>
      <c r="C51" s="81"/>
      <c r="D51" s="81"/>
      <c r="E51" s="81"/>
      <c r="F51" s="81"/>
      <c r="G51" s="81"/>
    </row>
    <row r="52" spans="2:7">
      <c r="B52" s="81"/>
      <c r="C52" s="81"/>
      <c r="D52" s="81"/>
      <c r="E52" s="81"/>
      <c r="F52" s="81"/>
      <c r="G52" s="81"/>
    </row>
    <row r="53" spans="2:7">
      <c r="B53" s="81"/>
      <c r="C53" s="81"/>
      <c r="D53" s="81"/>
      <c r="E53" s="81"/>
      <c r="F53" s="81"/>
      <c r="G53" s="81"/>
    </row>
    <row r="54" spans="2:7">
      <c r="B54" s="81"/>
      <c r="C54" s="81"/>
      <c r="D54" s="81"/>
      <c r="E54" s="81"/>
      <c r="F54" s="81"/>
      <c r="G54" s="81"/>
    </row>
    <row r="55" spans="2:7">
      <c r="B55" s="81"/>
      <c r="C55" s="81"/>
      <c r="D55" s="81"/>
      <c r="E55" s="81"/>
      <c r="F55" s="81"/>
      <c r="G55" s="81"/>
    </row>
    <row r="56" spans="2:7">
      <c r="B56" s="81"/>
      <c r="C56" s="81"/>
      <c r="D56" s="81"/>
      <c r="E56" s="81"/>
      <c r="F56" s="81"/>
      <c r="G56" s="81"/>
    </row>
    <row r="57" spans="2:7">
      <c r="B57" s="81"/>
      <c r="C57" s="81"/>
      <c r="D57" s="81"/>
      <c r="E57" s="81"/>
      <c r="F57" s="81"/>
      <c r="G57" s="81"/>
    </row>
    <row r="58" spans="2:7">
      <c r="B58" s="81"/>
      <c r="C58" s="81"/>
      <c r="D58" s="81"/>
      <c r="E58" s="81"/>
      <c r="F58" s="81"/>
      <c r="G58" s="81"/>
    </row>
    <row r="59" spans="2:7">
      <c r="B59" s="81"/>
      <c r="C59" s="81"/>
      <c r="D59" s="81"/>
      <c r="E59" s="81"/>
      <c r="F59" s="81"/>
      <c r="G59" s="81"/>
    </row>
    <row r="60" spans="2:7">
      <c r="B60" s="81"/>
      <c r="C60" s="81"/>
      <c r="D60" s="81"/>
      <c r="E60" s="81"/>
      <c r="F60" s="81"/>
      <c r="G60" s="81"/>
    </row>
    <row r="61" spans="2:7">
      <c r="B61" s="81"/>
      <c r="C61" s="81"/>
      <c r="D61" s="81"/>
      <c r="E61" s="81"/>
      <c r="F61" s="81"/>
      <c r="G61" s="81"/>
    </row>
    <row r="62" spans="2:7">
      <c r="B62" s="81"/>
      <c r="C62" s="81"/>
      <c r="D62" s="81"/>
      <c r="E62" s="81"/>
      <c r="F62" s="81"/>
      <c r="G62" s="81"/>
    </row>
    <row r="63" spans="2:7">
      <c r="B63" s="81"/>
      <c r="C63" s="81"/>
      <c r="D63" s="81"/>
      <c r="E63" s="81"/>
      <c r="F63" s="81"/>
      <c r="G63" s="81"/>
    </row>
    <row r="64" spans="2:7">
      <c r="B64" s="81"/>
      <c r="C64" s="81"/>
      <c r="D64" s="81"/>
      <c r="E64" s="81"/>
      <c r="F64" s="81"/>
      <c r="G64" s="81"/>
    </row>
    <row r="65" spans="2:7">
      <c r="B65" s="81"/>
      <c r="C65" s="81"/>
      <c r="D65" s="81"/>
      <c r="E65" s="81"/>
      <c r="F65" s="81"/>
      <c r="G65" s="81"/>
    </row>
    <row r="66" spans="2:7">
      <c r="B66" s="81"/>
      <c r="C66" s="81"/>
      <c r="D66" s="81"/>
      <c r="E66" s="81"/>
      <c r="F66" s="81"/>
      <c r="G66" s="81"/>
    </row>
    <row r="67" spans="2:7">
      <c r="B67" s="81"/>
      <c r="C67" s="81"/>
      <c r="D67" s="81"/>
      <c r="E67" s="81"/>
      <c r="F67" s="81"/>
      <c r="G67" s="81"/>
    </row>
    <row r="68" spans="2:7">
      <c r="B68" s="81"/>
      <c r="C68" s="81"/>
      <c r="D68" s="81"/>
      <c r="E68" s="81"/>
      <c r="F68" s="81"/>
      <c r="G68" s="81"/>
    </row>
    <row r="69" spans="2:7">
      <c r="B69" s="81"/>
      <c r="C69" s="81"/>
      <c r="D69" s="81"/>
      <c r="E69" s="81"/>
      <c r="F69" s="81"/>
      <c r="G69" s="81"/>
    </row>
    <row r="70" spans="2:7">
      <c r="B70" s="81"/>
      <c r="C70" s="81"/>
      <c r="D70" s="81"/>
      <c r="E70" s="81"/>
      <c r="F70" s="81"/>
      <c r="G70" s="81"/>
    </row>
    <row r="71" spans="2:7">
      <c r="B71" s="81"/>
      <c r="C71" s="81"/>
      <c r="D71" s="81"/>
      <c r="E71" s="81"/>
      <c r="F71" s="81"/>
      <c r="G71" s="81"/>
    </row>
    <row r="72" spans="2:7">
      <c r="B72" s="81"/>
      <c r="C72" s="81"/>
      <c r="D72" s="81"/>
      <c r="E72" s="81"/>
      <c r="F72" s="81"/>
      <c r="G72" s="81"/>
    </row>
    <row r="73" spans="2:7">
      <c r="B73" s="81"/>
      <c r="C73" s="81"/>
      <c r="D73" s="81"/>
      <c r="E73" s="81"/>
      <c r="F73" s="81"/>
      <c r="G73" s="81"/>
    </row>
    <row r="74" spans="2:7">
      <c r="B74" s="81"/>
      <c r="C74" s="81"/>
      <c r="D74" s="81"/>
      <c r="E74" s="81"/>
      <c r="F74" s="81"/>
      <c r="G74" s="81"/>
    </row>
    <row r="75" spans="2:7">
      <c r="B75" s="81"/>
      <c r="C75" s="81"/>
      <c r="D75" s="81"/>
      <c r="E75" s="81"/>
      <c r="F75" s="81"/>
      <c r="G75" s="81"/>
    </row>
    <row r="76" spans="2:7">
      <c r="B76" s="81"/>
      <c r="C76" s="81"/>
      <c r="D76" s="81"/>
      <c r="E76" s="81"/>
      <c r="F76" s="81"/>
      <c r="G76" s="81"/>
    </row>
    <row r="77" spans="2:7">
      <c r="B77" s="81"/>
      <c r="C77" s="81"/>
      <c r="D77" s="81"/>
      <c r="E77" s="81"/>
      <c r="F77" s="81"/>
      <c r="G77" s="81"/>
    </row>
    <row r="78" spans="2:7">
      <c r="B78" s="81"/>
      <c r="C78" s="81"/>
      <c r="D78" s="81"/>
      <c r="E78" s="81"/>
      <c r="F78" s="81"/>
      <c r="G78" s="81"/>
    </row>
    <row r="79" spans="2:7">
      <c r="B79" s="81"/>
      <c r="C79" s="81"/>
      <c r="D79" s="81"/>
      <c r="E79" s="81"/>
      <c r="F79" s="81"/>
      <c r="G79" s="81"/>
    </row>
    <row r="80" spans="2:7">
      <c r="B80" s="81"/>
      <c r="C80" s="81"/>
      <c r="D80" s="81"/>
      <c r="E80" s="81"/>
      <c r="F80" s="81"/>
      <c r="G80" s="81"/>
    </row>
    <row r="81" spans="2:7">
      <c r="B81" s="81"/>
      <c r="C81" s="81"/>
      <c r="D81" s="81"/>
      <c r="E81" s="81"/>
      <c r="F81" s="81"/>
      <c r="G81" s="81"/>
    </row>
    <row r="82" spans="2:7">
      <c r="B82" s="81"/>
      <c r="C82" s="81"/>
      <c r="D82" s="81"/>
      <c r="E82" s="81"/>
      <c r="F82" s="81"/>
      <c r="G82" s="81"/>
    </row>
    <row r="83" spans="2:7">
      <c r="B83" s="81"/>
      <c r="C83" s="81"/>
      <c r="D83" s="81"/>
      <c r="E83" s="81"/>
      <c r="F83" s="81"/>
      <c r="G83" s="81"/>
    </row>
    <row r="84" spans="2:7"/>
    <row r="85" spans="2:7"/>
    <row r="86" spans="2:7"/>
    <row r="87" spans="2:7"/>
    <row r="88" spans="2:7"/>
    <row r="89" spans="2:7"/>
    <row r="90" spans="2:7"/>
    <row r="91" spans="2:7"/>
    <row r="92" spans="2:7"/>
    <row r="93" spans="2:7"/>
    <row r="94" spans="2:7"/>
    <row r="95" spans="2:7"/>
    <row r="96" spans="2:7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</sheetData>
  <mergeCells count="13">
    <mergeCell ref="B23:G24"/>
    <mergeCell ref="I23:N24"/>
    <mergeCell ref="B2:L3"/>
    <mergeCell ref="B11:G12"/>
    <mergeCell ref="I11:N12"/>
    <mergeCell ref="B17:G18"/>
    <mergeCell ref="I17:N18"/>
    <mergeCell ref="B29:G30"/>
    <mergeCell ref="I29:N30"/>
    <mergeCell ref="B35:G36"/>
    <mergeCell ref="I35:N36"/>
    <mergeCell ref="B41:G42"/>
    <mergeCell ref="I41:N4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1047"/>
  <sheetViews>
    <sheetView workbookViewId="0"/>
  </sheetViews>
  <sheetFormatPr defaultColWidth="14.42578125" defaultRowHeight="15" customHeight="1"/>
  <cols>
    <col min="2" max="2" width="56.7109375" customWidth="1"/>
    <col min="11" max="11" width="19.5703125" customWidth="1"/>
    <col min="13" max="13" width="19.5703125" customWidth="1"/>
  </cols>
  <sheetData>
    <row r="1" spans="2:12"/>
    <row r="2" spans="2:12">
      <c r="B2" s="266" t="s">
        <v>135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</row>
    <row r="3" spans="2:12"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</row>
    <row r="4" spans="2:12">
      <c r="B4" s="62" t="s">
        <v>107</v>
      </c>
      <c r="C4" s="63">
        <v>2025</v>
      </c>
      <c r="D4" s="63">
        <v>2026</v>
      </c>
      <c r="E4" s="63">
        <v>2027</v>
      </c>
      <c r="F4" s="63">
        <v>2028</v>
      </c>
      <c r="G4" s="63">
        <v>2029</v>
      </c>
      <c r="H4" s="63">
        <v>2030</v>
      </c>
      <c r="I4" s="63">
        <v>2031</v>
      </c>
      <c r="J4" s="63">
        <v>2032</v>
      </c>
      <c r="K4" s="63">
        <v>2033</v>
      </c>
      <c r="L4" s="63">
        <v>2034</v>
      </c>
    </row>
    <row r="5" spans="2:12">
      <c r="B5" s="67" t="s">
        <v>136</v>
      </c>
      <c r="C5" s="82">
        <f>G21</f>
        <v>311247.35999999999</v>
      </c>
      <c r="D5" s="82">
        <f>G41</f>
        <v>311247.35999999999</v>
      </c>
      <c r="E5" s="82">
        <f>G60</f>
        <v>373496.83199999999</v>
      </c>
      <c r="F5" s="82">
        <f>G79</f>
        <v>435746.30399999995</v>
      </c>
      <c r="G5" s="82">
        <f>G98</f>
        <v>560245.24799999991</v>
      </c>
      <c r="H5" s="83">
        <f t="shared" ref="H5:L5" si="0">$G$117</f>
        <v>622494.71999999997</v>
      </c>
      <c r="I5" s="83">
        <f t="shared" si="0"/>
        <v>622494.71999999997</v>
      </c>
      <c r="J5" s="83">
        <f t="shared" si="0"/>
        <v>622494.71999999997</v>
      </c>
      <c r="K5" s="83">
        <f t="shared" si="0"/>
        <v>622494.71999999997</v>
      </c>
      <c r="L5" s="83">
        <f t="shared" si="0"/>
        <v>622494.71999999997</v>
      </c>
    </row>
    <row r="6" spans="2:12">
      <c r="B6" s="84" t="s">
        <v>137</v>
      </c>
      <c r="C6" s="82">
        <f>SUM(G22:G24)</f>
        <v>498000</v>
      </c>
      <c r="D6" s="82">
        <f>SUM(G42:G44)</f>
        <v>498000</v>
      </c>
      <c r="E6" s="82">
        <f>SUM(G61:G63)</f>
        <v>498000</v>
      </c>
      <c r="F6" s="82">
        <f>SUM(G80:G82)</f>
        <v>498000</v>
      </c>
      <c r="G6" s="82">
        <f>SUM(G99:G101)</f>
        <v>498000</v>
      </c>
      <c r="H6" s="83">
        <f t="shared" ref="H6:L6" si="1">SUM($G$118:$G$121)</f>
        <v>705360</v>
      </c>
      <c r="I6" s="83">
        <f t="shared" si="1"/>
        <v>705360</v>
      </c>
      <c r="J6" s="83">
        <f t="shared" si="1"/>
        <v>705360</v>
      </c>
      <c r="K6" s="83">
        <f t="shared" si="1"/>
        <v>705360</v>
      </c>
      <c r="L6" s="83">
        <f t="shared" si="1"/>
        <v>705360</v>
      </c>
    </row>
    <row r="7" spans="2:12">
      <c r="B7" s="67" t="s">
        <v>138</v>
      </c>
      <c r="C7" s="82">
        <f>SUM(G27:G28)</f>
        <v>44928</v>
      </c>
      <c r="D7" s="82">
        <f>SUM(G47:G48)</f>
        <v>44928</v>
      </c>
      <c r="E7" s="82">
        <f>SUM(G66:G67)</f>
        <v>53913.600000000006</v>
      </c>
      <c r="F7" s="82">
        <f>SUM(G85:G86)</f>
        <v>62899.200000000004</v>
      </c>
      <c r="G7" s="82">
        <f>SUM(G104:G105)</f>
        <v>80870.399999999994</v>
      </c>
      <c r="H7" s="83">
        <f t="shared" ref="H7:L7" si="2">SUM($G$124:$G$125)</f>
        <v>89856</v>
      </c>
      <c r="I7" s="83">
        <f t="shared" si="2"/>
        <v>89856</v>
      </c>
      <c r="J7" s="83">
        <f t="shared" si="2"/>
        <v>89856</v>
      </c>
      <c r="K7" s="83">
        <f t="shared" si="2"/>
        <v>89856</v>
      </c>
      <c r="L7" s="83">
        <f t="shared" si="2"/>
        <v>89856</v>
      </c>
    </row>
    <row r="8" spans="2:12">
      <c r="B8" s="67" t="s">
        <v>139</v>
      </c>
      <c r="C8" s="82">
        <f>SUM(G25:G26)</f>
        <v>11232</v>
      </c>
      <c r="D8" s="82">
        <f>SUM(G45:G46)</f>
        <v>11232</v>
      </c>
      <c r="E8" s="82">
        <f>SUM(G64:G65)</f>
        <v>13478.400000000001</v>
      </c>
      <c r="F8" s="82">
        <f>SUM(G83:G84)</f>
        <v>15724.800000000001</v>
      </c>
      <c r="G8" s="82">
        <f>SUM(G102:G103)</f>
        <v>20217.599999999999</v>
      </c>
      <c r="H8" s="83">
        <f t="shared" ref="H8:L8" si="3">SUM($G$122:$G$123)</f>
        <v>22464</v>
      </c>
      <c r="I8" s="83">
        <f t="shared" si="3"/>
        <v>22464</v>
      </c>
      <c r="J8" s="83">
        <f t="shared" si="3"/>
        <v>22464</v>
      </c>
      <c r="K8" s="83">
        <f t="shared" si="3"/>
        <v>22464</v>
      </c>
      <c r="L8" s="83">
        <f t="shared" si="3"/>
        <v>22464</v>
      </c>
    </row>
    <row r="9" spans="2:12">
      <c r="B9" s="67" t="s">
        <v>140</v>
      </c>
      <c r="C9" s="82">
        <f>SUM(G29:G31)</f>
        <v>11219.193599999999</v>
      </c>
      <c r="D9" s="82">
        <f>SUM(G49:G51)</f>
        <v>11219.193599999999</v>
      </c>
      <c r="E9" s="82">
        <f>SUM(G68:G70)</f>
        <v>11219.193599999999</v>
      </c>
      <c r="F9" s="82">
        <f>SUM(G87:G89)</f>
        <v>11219.193599999999</v>
      </c>
      <c r="G9" s="82">
        <f>SUM(G106:G108)</f>
        <v>11219.193599999999</v>
      </c>
      <c r="H9" s="83">
        <f t="shared" ref="H9:L9" si="4">SUM($G$126:$G$128)</f>
        <v>11219.193599999999</v>
      </c>
      <c r="I9" s="83">
        <f t="shared" si="4"/>
        <v>11219.193599999999</v>
      </c>
      <c r="J9" s="83">
        <f t="shared" si="4"/>
        <v>11219.193599999999</v>
      </c>
      <c r="K9" s="83">
        <f t="shared" si="4"/>
        <v>11219.193599999999</v>
      </c>
      <c r="L9" s="83">
        <f t="shared" si="4"/>
        <v>11219.193599999999</v>
      </c>
    </row>
    <row r="10" spans="2:12">
      <c r="B10" s="67" t="s">
        <v>141</v>
      </c>
      <c r="C10" s="82">
        <f>SUM(G32)</f>
        <v>600</v>
      </c>
      <c r="D10" s="82">
        <f>SUM(G52)</f>
        <v>600</v>
      </c>
      <c r="E10" s="82">
        <f>SUM(G71)</f>
        <v>600</v>
      </c>
      <c r="F10" s="82">
        <f>SUM(G90)</f>
        <v>600</v>
      </c>
      <c r="G10" s="82">
        <f>SUM(G109)</f>
        <v>600</v>
      </c>
      <c r="H10" s="83">
        <f t="shared" ref="H10:L10" si="5">SUM($G$90)</f>
        <v>600</v>
      </c>
      <c r="I10" s="83">
        <f t="shared" si="5"/>
        <v>600</v>
      </c>
      <c r="J10" s="83">
        <f t="shared" si="5"/>
        <v>600</v>
      </c>
      <c r="K10" s="83">
        <f t="shared" si="5"/>
        <v>600</v>
      </c>
      <c r="L10" s="83">
        <f t="shared" si="5"/>
        <v>600</v>
      </c>
    </row>
    <row r="11" spans="2:12">
      <c r="B11" s="64" t="s">
        <v>142</v>
      </c>
      <c r="C11" s="85">
        <f t="shared" ref="C11:L11" si="6">SUM(C5:C10)</f>
        <v>877226.55359999998</v>
      </c>
      <c r="D11" s="85">
        <f t="shared" si="6"/>
        <v>877226.55359999998</v>
      </c>
      <c r="E11" s="85">
        <f t="shared" si="6"/>
        <v>950708.02559999994</v>
      </c>
      <c r="F11" s="85">
        <f t="shared" si="6"/>
        <v>1024189.4976</v>
      </c>
      <c r="G11" s="85">
        <f t="shared" si="6"/>
        <v>1171152.4416</v>
      </c>
      <c r="H11" s="85">
        <f t="shared" si="6"/>
        <v>1451993.9136000001</v>
      </c>
      <c r="I11" s="85">
        <f t="shared" si="6"/>
        <v>1451993.9136000001</v>
      </c>
      <c r="J11" s="85">
        <f t="shared" si="6"/>
        <v>1451993.9136000001</v>
      </c>
      <c r="K11" s="85">
        <f t="shared" si="6"/>
        <v>1451993.9136000001</v>
      </c>
      <c r="L11" s="85">
        <f t="shared" si="6"/>
        <v>1451993.9136000001</v>
      </c>
    </row>
    <row r="12" spans="2:12"/>
    <row r="13" spans="2:12"/>
    <row r="14" spans="2:12">
      <c r="B14" s="67" t="s">
        <v>109</v>
      </c>
      <c r="C14" s="68">
        <v>30</v>
      </c>
    </row>
    <row r="15" spans="2:12">
      <c r="B15" s="67" t="s">
        <v>110</v>
      </c>
      <c r="C15" s="68">
        <v>12</v>
      </c>
    </row>
    <row r="16" spans="2:12"/>
    <row r="17" spans="1:28"/>
    <row r="18" spans="1:28">
      <c r="A18" s="86"/>
      <c r="B18" s="267" t="s">
        <v>111</v>
      </c>
      <c r="C18" s="224"/>
      <c r="D18" s="224"/>
      <c r="E18" s="224"/>
      <c r="F18" s="224"/>
      <c r="G18" s="224"/>
      <c r="I18" s="267" t="s">
        <v>143</v>
      </c>
      <c r="J18" s="224"/>
      <c r="K18" s="224"/>
      <c r="L18" s="224"/>
      <c r="M18" s="224"/>
      <c r="N18" s="224"/>
      <c r="O18" s="224"/>
      <c r="P18" s="224"/>
      <c r="Q18" s="224"/>
      <c r="R18" s="224"/>
      <c r="S18" s="86"/>
      <c r="T18" s="86"/>
      <c r="U18" s="86"/>
      <c r="V18" s="86"/>
      <c r="W18" s="86"/>
      <c r="X18" s="86"/>
      <c r="Y18" s="86"/>
      <c r="Z18" s="86"/>
      <c r="AA18" s="86"/>
      <c r="AB18" s="86"/>
    </row>
    <row r="19" spans="1:28">
      <c r="B19" s="228"/>
      <c r="C19" s="228"/>
      <c r="D19" s="228"/>
      <c r="E19" s="228"/>
      <c r="F19" s="228"/>
      <c r="G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</row>
    <row r="20" spans="1:28">
      <c r="B20" s="87" t="s">
        <v>69</v>
      </c>
      <c r="C20" s="87" t="s">
        <v>114</v>
      </c>
      <c r="D20" s="87" t="s">
        <v>4</v>
      </c>
      <c r="E20" s="87" t="s">
        <v>5</v>
      </c>
      <c r="F20" s="88" t="s">
        <v>144</v>
      </c>
      <c r="G20" s="88" t="s">
        <v>145</v>
      </c>
      <c r="I20" s="89" t="s">
        <v>117</v>
      </c>
      <c r="J20" s="89" t="s">
        <v>118</v>
      </c>
      <c r="K20" s="90" t="s">
        <v>119</v>
      </c>
      <c r="L20" s="89" t="s">
        <v>120</v>
      </c>
      <c r="M20" s="89" t="s">
        <v>121</v>
      </c>
      <c r="N20" s="89" t="s">
        <v>122</v>
      </c>
      <c r="O20" s="89" t="s">
        <v>146</v>
      </c>
      <c r="P20" s="91" t="s">
        <v>147</v>
      </c>
      <c r="Q20" s="89" t="s">
        <v>148</v>
      </c>
      <c r="R20" s="92" t="s">
        <v>149</v>
      </c>
      <c r="S20" s="93"/>
    </row>
    <row r="21" spans="1:28">
      <c r="B21" s="47" t="s">
        <v>136</v>
      </c>
      <c r="C21" s="94" t="s">
        <v>150</v>
      </c>
      <c r="D21" s="48">
        <f t="shared" ref="D21:F21" si="7">P21</f>
        <v>1.1399999999999999</v>
      </c>
      <c r="E21" s="95">
        <f t="shared" si="7"/>
        <v>22752</v>
      </c>
      <c r="F21" s="48">
        <f t="shared" si="7"/>
        <v>25937.279999999999</v>
      </c>
      <c r="G21" s="48">
        <f t="shared" ref="G21:G32" si="8">F21*$C$15</f>
        <v>311247.35999999999</v>
      </c>
      <c r="H21" s="86"/>
      <c r="I21" s="68">
        <v>5</v>
      </c>
      <c r="J21" s="68">
        <v>60</v>
      </c>
      <c r="K21" s="68">
        <v>8</v>
      </c>
      <c r="L21" s="68">
        <f>K21*J21</f>
        <v>480</v>
      </c>
      <c r="M21" s="68">
        <f>I21*L21</f>
        <v>2400</v>
      </c>
      <c r="N21" s="68">
        <f>M21*$C$14</f>
        <v>72000</v>
      </c>
      <c r="O21" s="68">
        <v>31.6</v>
      </c>
      <c r="P21" s="96">
        <v>1.1399999999999999</v>
      </c>
      <c r="Q21" s="97">
        <f>(N21*O21)/100</f>
        <v>22752</v>
      </c>
      <c r="R21" s="98">
        <f>P21*Q21</f>
        <v>25937.279999999999</v>
      </c>
    </row>
    <row r="22" spans="1:28">
      <c r="B22" s="47" t="s">
        <v>151</v>
      </c>
      <c r="C22" s="94" t="s">
        <v>152</v>
      </c>
      <c r="D22" s="48">
        <v>500</v>
      </c>
      <c r="E22" s="94">
        <v>10</v>
      </c>
      <c r="F22" s="48">
        <f>D22*E22</f>
        <v>5000</v>
      </c>
      <c r="G22" s="48">
        <f t="shared" si="8"/>
        <v>60000</v>
      </c>
    </row>
    <row r="23" spans="1:28">
      <c r="B23" s="47" t="s">
        <v>153</v>
      </c>
      <c r="C23" s="94" t="s">
        <v>152</v>
      </c>
      <c r="D23" s="48">
        <v>500</v>
      </c>
      <c r="E23" s="94">
        <v>13</v>
      </c>
      <c r="F23" s="48">
        <f t="shared" ref="F23:F29" si="9">E23*D23</f>
        <v>6500</v>
      </c>
      <c r="G23" s="48">
        <f t="shared" si="8"/>
        <v>78000</v>
      </c>
    </row>
    <row r="24" spans="1:28">
      <c r="B24" s="47" t="s">
        <v>154</v>
      </c>
      <c r="C24" s="94" t="s">
        <v>152</v>
      </c>
      <c r="D24" s="48">
        <v>3000</v>
      </c>
      <c r="E24" s="94">
        <v>10</v>
      </c>
      <c r="F24" s="48">
        <f t="shared" si="9"/>
        <v>30000</v>
      </c>
      <c r="G24" s="48">
        <f t="shared" si="8"/>
        <v>360000</v>
      </c>
      <c r="Q24" s="99"/>
      <c r="R24" s="99"/>
      <c r="S24" s="99"/>
      <c r="T24" s="99"/>
    </row>
    <row r="25" spans="1:28">
      <c r="B25" s="47" t="s">
        <v>155</v>
      </c>
      <c r="C25" s="94" t="s">
        <v>156</v>
      </c>
      <c r="D25" s="48">
        <v>0.75</v>
      </c>
      <c r="E25" s="94">
        <f>N21/100</f>
        <v>720</v>
      </c>
      <c r="F25" s="48">
        <f t="shared" si="9"/>
        <v>540</v>
      </c>
      <c r="G25" s="48">
        <f t="shared" si="8"/>
        <v>6480</v>
      </c>
      <c r="Q25" s="99"/>
      <c r="R25" s="99"/>
      <c r="S25" s="99"/>
      <c r="T25" s="99"/>
    </row>
    <row r="26" spans="1:28">
      <c r="B26" s="47" t="s">
        <v>157</v>
      </c>
      <c r="C26" s="94" t="s">
        <v>156</v>
      </c>
      <c r="D26" s="48">
        <v>0.55000000000000004</v>
      </c>
      <c r="E26" s="94">
        <f>N21/100</f>
        <v>720</v>
      </c>
      <c r="F26" s="48">
        <f t="shared" si="9"/>
        <v>396.00000000000006</v>
      </c>
      <c r="G26" s="48">
        <f t="shared" si="8"/>
        <v>4752.0000000000009</v>
      </c>
    </row>
    <row r="27" spans="1:28">
      <c r="B27" s="47" t="s">
        <v>158</v>
      </c>
      <c r="C27" s="94" t="s">
        <v>156</v>
      </c>
      <c r="D27" s="48">
        <v>2.4700000000000002</v>
      </c>
      <c r="E27" s="94">
        <f>N21/100</f>
        <v>720</v>
      </c>
      <c r="F27" s="48">
        <f t="shared" si="9"/>
        <v>1778.4</v>
      </c>
      <c r="G27" s="48">
        <f t="shared" si="8"/>
        <v>21340.800000000003</v>
      </c>
    </row>
    <row r="28" spans="1:28">
      <c r="B28" s="47" t="s">
        <v>159</v>
      </c>
      <c r="C28" s="94" t="s">
        <v>156</v>
      </c>
      <c r="D28" s="48">
        <v>2.73</v>
      </c>
      <c r="E28" s="94">
        <f>N21/100</f>
        <v>720</v>
      </c>
      <c r="F28" s="48">
        <f t="shared" si="9"/>
        <v>1965.6</v>
      </c>
      <c r="G28" s="48">
        <f t="shared" si="8"/>
        <v>23587.199999999997</v>
      </c>
    </row>
    <row r="29" spans="1:28">
      <c r="B29" s="47" t="s">
        <v>160</v>
      </c>
      <c r="C29" s="94" t="s">
        <v>161</v>
      </c>
      <c r="D29" s="48">
        <v>0.2</v>
      </c>
      <c r="E29" s="94">
        <v>3120</v>
      </c>
      <c r="F29" s="48">
        <f t="shared" si="9"/>
        <v>624</v>
      </c>
      <c r="G29" s="48">
        <f t="shared" si="8"/>
        <v>7488</v>
      </c>
    </row>
    <row r="30" spans="1:28">
      <c r="B30" s="47" t="s">
        <v>162</v>
      </c>
      <c r="C30" s="94" t="s">
        <v>42</v>
      </c>
      <c r="D30" s="48">
        <v>2.2000000000000002</v>
      </c>
      <c r="E30" s="94">
        <v>5</v>
      </c>
      <c r="F30" s="48">
        <f t="shared" ref="F30:F31" si="10">D30*E30</f>
        <v>11</v>
      </c>
      <c r="G30" s="48">
        <f t="shared" si="8"/>
        <v>132</v>
      </c>
    </row>
    <row r="31" spans="1:28">
      <c r="B31" s="47" t="s">
        <v>163</v>
      </c>
      <c r="C31" s="94" t="s">
        <v>161</v>
      </c>
      <c r="D31" s="48">
        <v>7.96</v>
      </c>
      <c r="E31" s="94">
        <v>37.68</v>
      </c>
      <c r="F31" s="48">
        <f t="shared" si="10"/>
        <v>299.93279999999999</v>
      </c>
      <c r="G31" s="48">
        <f t="shared" si="8"/>
        <v>3599.1935999999996</v>
      </c>
    </row>
    <row r="32" spans="1:28">
      <c r="B32" s="47" t="s">
        <v>164</v>
      </c>
      <c r="C32" s="94" t="s">
        <v>11</v>
      </c>
      <c r="D32" s="48" t="s">
        <v>11</v>
      </c>
      <c r="E32" s="94" t="s">
        <v>11</v>
      </c>
      <c r="F32" s="48">
        <v>50</v>
      </c>
      <c r="G32" s="48">
        <f t="shared" si="8"/>
        <v>600</v>
      </c>
      <c r="H32" s="80"/>
    </row>
    <row r="33" spans="1:28">
      <c r="C33" s="78"/>
      <c r="D33" s="79"/>
      <c r="E33" s="49" t="s">
        <v>17</v>
      </c>
      <c r="F33" s="49">
        <f t="shared" ref="F33:G33" si="11">SUM(F21:F32)</f>
        <v>73102.212799999994</v>
      </c>
      <c r="G33" s="49">
        <f t="shared" si="11"/>
        <v>877226.55359999998</v>
      </c>
      <c r="H33" s="80"/>
    </row>
    <row r="34" spans="1:28">
      <c r="H34" s="80"/>
    </row>
    <row r="35" spans="1:28">
      <c r="C35" s="78"/>
      <c r="D35" s="79"/>
      <c r="E35" s="80"/>
      <c r="F35" s="79"/>
      <c r="G35" s="80"/>
      <c r="H35" s="80"/>
    </row>
    <row r="36" spans="1:28">
      <c r="B36" s="78"/>
      <c r="C36" s="79"/>
      <c r="D36" s="80"/>
      <c r="E36" s="79"/>
      <c r="F36" s="80"/>
      <c r="G36" s="80"/>
    </row>
    <row r="37" spans="1:28">
      <c r="A37" s="86"/>
      <c r="S37" s="86"/>
      <c r="T37" s="86"/>
      <c r="U37" s="86"/>
      <c r="V37" s="86"/>
      <c r="W37" s="86"/>
      <c r="X37" s="86"/>
      <c r="Y37" s="86"/>
      <c r="Z37" s="86"/>
      <c r="AA37" s="86"/>
      <c r="AB37" s="86"/>
    </row>
    <row r="38" spans="1:28">
      <c r="B38" s="251" t="s">
        <v>125</v>
      </c>
      <c r="C38" s="252"/>
      <c r="D38" s="252"/>
      <c r="E38" s="252"/>
      <c r="F38" s="252"/>
      <c r="G38" s="253"/>
      <c r="I38" s="267" t="s">
        <v>165</v>
      </c>
      <c r="J38" s="224"/>
      <c r="K38" s="224"/>
      <c r="L38" s="224"/>
      <c r="M38" s="224"/>
      <c r="N38" s="224"/>
      <c r="O38" s="224"/>
      <c r="P38" s="224"/>
      <c r="Q38" s="224"/>
      <c r="R38" s="224"/>
    </row>
    <row r="39" spans="1:28">
      <c r="B39" s="259"/>
      <c r="C39" s="260"/>
      <c r="D39" s="260"/>
      <c r="E39" s="260"/>
      <c r="F39" s="260"/>
      <c r="G39" s="261"/>
      <c r="I39" s="228"/>
      <c r="J39" s="228"/>
      <c r="K39" s="228"/>
      <c r="L39" s="228"/>
      <c r="M39" s="228"/>
      <c r="N39" s="228"/>
      <c r="O39" s="228"/>
      <c r="P39" s="228"/>
      <c r="Q39" s="228"/>
      <c r="R39" s="228"/>
    </row>
    <row r="40" spans="1:28">
      <c r="B40" s="57" t="s">
        <v>69</v>
      </c>
      <c r="C40" s="57" t="s">
        <v>114</v>
      </c>
      <c r="D40" s="57" t="s">
        <v>4</v>
      </c>
      <c r="E40" s="57" t="s">
        <v>5</v>
      </c>
      <c r="F40" s="70" t="s">
        <v>144</v>
      </c>
      <c r="G40" s="70" t="s">
        <v>145</v>
      </c>
      <c r="I40" s="89" t="s">
        <v>117</v>
      </c>
      <c r="J40" s="89" t="s">
        <v>118</v>
      </c>
      <c r="K40" s="90" t="s">
        <v>119</v>
      </c>
      <c r="L40" s="89" t="s">
        <v>120</v>
      </c>
      <c r="M40" s="89" t="s">
        <v>121</v>
      </c>
      <c r="N40" s="89" t="s">
        <v>122</v>
      </c>
      <c r="O40" s="89" t="s">
        <v>146</v>
      </c>
      <c r="P40" s="100" t="s">
        <v>166</v>
      </c>
      <c r="Q40" s="89" t="s">
        <v>148</v>
      </c>
      <c r="R40" s="92" t="s">
        <v>149</v>
      </c>
    </row>
    <row r="41" spans="1:28">
      <c r="B41" s="47" t="s">
        <v>136</v>
      </c>
      <c r="C41" s="94" t="s">
        <v>150</v>
      </c>
      <c r="D41" s="48">
        <f t="shared" ref="D41:F41" si="12">P41</f>
        <v>1.1399999999999999</v>
      </c>
      <c r="E41" s="95">
        <f t="shared" si="12"/>
        <v>22752</v>
      </c>
      <c r="F41" s="48">
        <f t="shared" si="12"/>
        <v>25937.279999999999</v>
      </c>
      <c r="G41" s="48">
        <f t="shared" ref="G41:G52" si="13">F41*$C$15</f>
        <v>311247.35999999999</v>
      </c>
      <c r="H41" s="86"/>
      <c r="I41" s="68">
        <v>5</v>
      </c>
      <c r="J41" s="68">
        <v>60</v>
      </c>
      <c r="K41" s="68">
        <v>8</v>
      </c>
      <c r="L41" s="68">
        <f>K41*J41</f>
        <v>480</v>
      </c>
      <c r="M41" s="68">
        <f>I41*L41</f>
        <v>2400</v>
      </c>
      <c r="N41" s="68">
        <f>M41*$C$14</f>
        <v>72000</v>
      </c>
      <c r="O41" s="68">
        <v>31.6</v>
      </c>
      <c r="P41" s="96">
        <v>1.1399999999999999</v>
      </c>
      <c r="Q41" s="97">
        <f>(N41*O41)/100</f>
        <v>22752</v>
      </c>
      <c r="R41" s="98">
        <f>P41*Q41</f>
        <v>25937.279999999999</v>
      </c>
    </row>
    <row r="42" spans="1:28">
      <c r="B42" s="47" t="s">
        <v>151</v>
      </c>
      <c r="C42" s="94" t="s">
        <v>152</v>
      </c>
      <c r="D42" s="48">
        <v>500</v>
      </c>
      <c r="E42" s="94">
        <v>10</v>
      </c>
      <c r="F42" s="48">
        <f>D42*E42</f>
        <v>5000</v>
      </c>
      <c r="G42" s="48">
        <f t="shared" si="13"/>
        <v>60000</v>
      </c>
    </row>
    <row r="43" spans="1:28">
      <c r="B43" s="47" t="s">
        <v>153</v>
      </c>
      <c r="C43" s="94" t="s">
        <v>152</v>
      </c>
      <c r="D43" s="48">
        <v>500</v>
      </c>
      <c r="E43" s="94">
        <v>13</v>
      </c>
      <c r="F43" s="48">
        <f t="shared" ref="F43:F49" si="14">E43*D43</f>
        <v>6500</v>
      </c>
      <c r="G43" s="48">
        <f t="shared" si="13"/>
        <v>78000</v>
      </c>
      <c r="Q43" s="99"/>
      <c r="R43" s="99"/>
    </row>
    <row r="44" spans="1:28">
      <c r="B44" s="47" t="s">
        <v>154</v>
      </c>
      <c r="C44" s="94" t="s">
        <v>152</v>
      </c>
      <c r="D44" s="48">
        <v>3000</v>
      </c>
      <c r="E44" s="94">
        <v>10</v>
      </c>
      <c r="F44" s="48">
        <f t="shared" si="14"/>
        <v>30000</v>
      </c>
      <c r="G44" s="48">
        <f t="shared" si="13"/>
        <v>360000</v>
      </c>
      <c r="Q44" s="99"/>
      <c r="R44" s="99"/>
    </row>
    <row r="45" spans="1:28">
      <c r="B45" s="47" t="s">
        <v>155</v>
      </c>
      <c r="C45" s="94" t="s">
        <v>156</v>
      </c>
      <c r="D45" s="48">
        <v>0.75</v>
      </c>
      <c r="E45" s="94">
        <f>N41/100</f>
        <v>720</v>
      </c>
      <c r="F45" s="48">
        <f t="shared" si="14"/>
        <v>540</v>
      </c>
      <c r="G45" s="48">
        <f t="shared" si="13"/>
        <v>6480</v>
      </c>
      <c r="Q45" s="99"/>
      <c r="R45" s="99"/>
    </row>
    <row r="46" spans="1:28">
      <c r="B46" s="47" t="s">
        <v>157</v>
      </c>
      <c r="C46" s="94" t="s">
        <v>156</v>
      </c>
      <c r="D46" s="48">
        <v>0.55000000000000004</v>
      </c>
      <c r="E46" s="94">
        <f>N41/100</f>
        <v>720</v>
      </c>
      <c r="F46" s="48">
        <f t="shared" si="14"/>
        <v>396.00000000000006</v>
      </c>
      <c r="G46" s="48">
        <f t="shared" si="13"/>
        <v>4752.0000000000009</v>
      </c>
    </row>
    <row r="47" spans="1:28">
      <c r="B47" s="47" t="s">
        <v>158</v>
      </c>
      <c r="C47" s="94" t="s">
        <v>156</v>
      </c>
      <c r="D47" s="48">
        <v>2.4700000000000002</v>
      </c>
      <c r="E47" s="94">
        <f>N41/100</f>
        <v>720</v>
      </c>
      <c r="F47" s="48">
        <f t="shared" si="14"/>
        <v>1778.4</v>
      </c>
      <c r="G47" s="48">
        <f t="shared" si="13"/>
        <v>21340.800000000003</v>
      </c>
    </row>
    <row r="48" spans="1:28">
      <c r="B48" s="47" t="s">
        <v>159</v>
      </c>
      <c r="C48" s="94" t="s">
        <v>156</v>
      </c>
      <c r="D48" s="48">
        <v>2.73</v>
      </c>
      <c r="E48" s="94">
        <f>N41/100</f>
        <v>720</v>
      </c>
      <c r="F48" s="48">
        <f t="shared" si="14"/>
        <v>1965.6</v>
      </c>
      <c r="G48" s="48">
        <f t="shared" si="13"/>
        <v>23587.199999999997</v>
      </c>
    </row>
    <row r="49" spans="1:28">
      <c r="B49" s="47" t="s">
        <v>160</v>
      </c>
      <c r="C49" s="94" t="s">
        <v>161</v>
      </c>
      <c r="D49" s="48">
        <v>0.2</v>
      </c>
      <c r="E49" s="94">
        <v>3120</v>
      </c>
      <c r="F49" s="48">
        <f t="shared" si="14"/>
        <v>624</v>
      </c>
      <c r="G49" s="48">
        <f t="shared" si="13"/>
        <v>7488</v>
      </c>
    </row>
    <row r="50" spans="1:28">
      <c r="B50" s="47" t="s">
        <v>162</v>
      </c>
      <c r="C50" s="94" t="s">
        <v>42</v>
      </c>
      <c r="D50" s="48">
        <v>2.2000000000000002</v>
      </c>
      <c r="E50" s="94">
        <v>5</v>
      </c>
      <c r="F50" s="48">
        <f t="shared" ref="F50:F51" si="15">D50*E50</f>
        <v>11</v>
      </c>
      <c r="G50" s="48">
        <f t="shared" si="13"/>
        <v>132</v>
      </c>
    </row>
    <row r="51" spans="1:28">
      <c r="B51" s="47" t="s">
        <v>163</v>
      </c>
      <c r="C51" s="94" t="s">
        <v>161</v>
      </c>
      <c r="D51" s="48">
        <v>7.96</v>
      </c>
      <c r="E51" s="94">
        <v>37.68</v>
      </c>
      <c r="F51" s="48">
        <f t="shared" si="15"/>
        <v>299.93279999999999</v>
      </c>
      <c r="G51" s="48">
        <f t="shared" si="13"/>
        <v>3599.1935999999996</v>
      </c>
      <c r="H51" s="80"/>
    </row>
    <row r="52" spans="1:28">
      <c r="A52" s="86"/>
      <c r="B52" s="47" t="s">
        <v>164</v>
      </c>
      <c r="C52" s="94" t="s">
        <v>11</v>
      </c>
      <c r="D52" s="48" t="s">
        <v>11</v>
      </c>
      <c r="E52" s="94" t="s">
        <v>11</v>
      </c>
      <c r="F52" s="48">
        <v>50</v>
      </c>
      <c r="G52" s="48">
        <f t="shared" si="13"/>
        <v>600</v>
      </c>
      <c r="H52" s="80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1:28">
      <c r="C53" s="78"/>
      <c r="D53" s="79"/>
      <c r="E53" s="49" t="s">
        <v>17</v>
      </c>
      <c r="F53" s="49">
        <f t="shared" ref="F53:G53" si="16">SUM(F41:F52)</f>
        <v>73102.212799999994</v>
      </c>
      <c r="G53" s="49">
        <f t="shared" si="16"/>
        <v>877226.55359999998</v>
      </c>
      <c r="H53" s="80"/>
    </row>
    <row r="54" spans="1:28">
      <c r="C54" s="78"/>
      <c r="D54" s="79"/>
      <c r="E54" s="80"/>
      <c r="F54" s="79"/>
      <c r="G54" s="80"/>
      <c r="H54" s="80"/>
    </row>
    <row r="55" spans="1:28">
      <c r="B55" s="78"/>
      <c r="C55" s="79"/>
      <c r="D55" s="80"/>
      <c r="E55" s="79"/>
      <c r="F55" s="80"/>
      <c r="G55" s="80"/>
    </row>
    <row r="56" spans="1:28"/>
    <row r="57" spans="1:28">
      <c r="B57" s="251" t="s">
        <v>127</v>
      </c>
      <c r="C57" s="252"/>
      <c r="D57" s="252"/>
      <c r="E57" s="252"/>
      <c r="F57" s="252"/>
      <c r="G57" s="253"/>
      <c r="I57" s="267" t="s">
        <v>167</v>
      </c>
      <c r="J57" s="224"/>
      <c r="K57" s="224"/>
      <c r="L57" s="224"/>
      <c r="M57" s="224"/>
      <c r="N57" s="224"/>
      <c r="O57" s="224"/>
      <c r="P57" s="224"/>
      <c r="Q57" s="224"/>
      <c r="R57" s="224"/>
    </row>
    <row r="58" spans="1:28">
      <c r="B58" s="259"/>
      <c r="C58" s="260"/>
      <c r="D58" s="260"/>
      <c r="E58" s="260"/>
      <c r="F58" s="260"/>
      <c r="G58" s="261"/>
      <c r="I58" s="228"/>
      <c r="J58" s="228"/>
      <c r="K58" s="228"/>
      <c r="L58" s="228"/>
      <c r="M58" s="228"/>
      <c r="N58" s="228"/>
      <c r="O58" s="228"/>
      <c r="P58" s="228"/>
      <c r="Q58" s="228"/>
      <c r="R58" s="228"/>
    </row>
    <row r="59" spans="1:28">
      <c r="B59" s="57" t="s">
        <v>69</v>
      </c>
      <c r="C59" s="57" t="s">
        <v>114</v>
      </c>
      <c r="D59" s="57" t="s">
        <v>4</v>
      </c>
      <c r="E59" s="57" t="s">
        <v>5</v>
      </c>
      <c r="F59" s="70" t="s">
        <v>144</v>
      </c>
      <c r="G59" s="70" t="s">
        <v>145</v>
      </c>
      <c r="I59" s="89" t="s">
        <v>117</v>
      </c>
      <c r="J59" s="89" t="s">
        <v>118</v>
      </c>
      <c r="K59" s="90" t="s">
        <v>119</v>
      </c>
      <c r="L59" s="89" t="s">
        <v>120</v>
      </c>
      <c r="M59" s="89" t="s">
        <v>121</v>
      </c>
      <c r="N59" s="89" t="s">
        <v>122</v>
      </c>
      <c r="O59" s="89" t="s">
        <v>146</v>
      </c>
      <c r="P59" s="100" t="s">
        <v>166</v>
      </c>
      <c r="Q59" s="89" t="s">
        <v>148</v>
      </c>
      <c r="R59" s="92" t="s">
        <v>149</v>
      </c>
    </row>
    <row r="60" spans="1:28">
      <c r="B60" s="47" t="s">
        <v>136</v>
      </c>
      <c r="C60" s="94" t="s">
        <v>150</v>
      </c>
      <c r="D60" s="48">
        <f t="shared" ref="D60:F60" si="17">P60</f>
        <v>1.1399999999999999</v>
      </c>
      <c r="E60" s="95">
        <f t="shared" si="17"/>
        <v>27302.400000000001</v>
      </c>
      <c r="F60" s="48">
        <f t="shared" si="17"/>
        <v>31124.736000000001</v>
      </c>
      <c r="G60" s="48">
        <f t="shared" ref="G60:G71" si="18">F60*$C$15</f>
        <v>373496.83199999999</v>
      </c>
      <c r="H60" s="86"/>
      <c r="I60" s="68">
        <v>6</v>
      </c>
      <c r="J60" s="68">
        <v>60</v>
      </c>
      <c r="K60" s="68">
        <v>8</v>
      </c>
      <c r="L60" s="68">
        <f>K60*J60</f>
        <v>480</v>
      </c>
      <c r="M60" s="68">
        <f>I60*L60</f>
        <v>2880</v>
      </c>
      <c r="N60" s="68">
        <f>M60*$C$14</f>
        <v>86400</v>
      </c>
      <c r="O60" s="68">
        <v>31.6</v>
      </c>
      <c r="P60" s="96">
        <v>1.1399999999999999</v>
      </c>
      <c r="Q60" s="97">
        <f>(N60*O60)/100</f>
        <v>27302.400000000001</v>
      </c>
      <c r="R60" s="98">
        <f>P60*Q60</f>
        <v>31124.736000000001</v>
      </c>
    </row>
    <row r="61" spans="1:28">
      <c r="B61" s="47" t="s">
        <v>151</v>
      </c>
      <c r="C61" s="94" t="s">
        <v>152</v>
      </c>
      <c r="D61" s="48">
        <v>500</v>
      </c>
      <c r="E61" s="94">
        <v>10</v>
      </c>
      <c r="F61" s="48">
        <f>D61*E61</f>
        <v>5000</v>
      </c>
      <c r="G61" s="48">
        <f t="shared" si="18"/>
        <v>60000</v>
      </c>
    </row>
    <row r="62" spans="1:28">
      <c r="B62" s="47" t="s">
        <v>153</v>
      </c>
      <c r="C62" s="94" t="s">
        <v>152</v>
      </c>
      <c r="D62" s="48">
        <v>500</v>
      </c>
      <c r="E62" s="94">
        <v>13</v>
      </c>
      <c r="F62" s="48">
        <f t="shared" ref="F62:F68" si="19">E62*D62</f>
        <v>6500</v>
      </c>
      <c r="G62" s="48">
        <f t="shared" si="18"/>
        <v>78000</v>
      </c>
      <c r="Q62" s="99"/>
      <c r="R62" s="99"/>
    </row>
    <row r="63" spans="1:28">
      <c r="B63" s="47" t="s">
        <v>154</v>
      </c>
      <c r="C63" s="94" t="s">
        <v>152</v>
      </c>
      <c r="D63" s="48">
        <v>3000</v>
      </c>
      <c r="E63" s="94">
        <v>10</v>
      </c>
      <c r="F63" s="48">
        <f t="shared" si="19"/>
        <v>30000</v>
      </c>
      <c r="G63" s="48">
        <f t="shared" si="18"/>
        <v>360000</v>
      </c>
      <c r="Q63" s="99"/>
      <c r="R63" s="99"/>
    </row>
    <row r="64" spans="1:28">
      <c r="B64" s="47" t="s">
        <v>155</v>
      </c>
      <c r="C64" s="94" t="s">
        <v>156</v>
      </c>
      <c r="D64" s="48">
        <v>0.75</v>
      </c>
      <c r="E64" s="94">
        <f>N60/100</f>
        <v>864</v>
      </c>
      <c r="F64" s="48">
        <f t="shared" si="19"/>
        <v>648</v>
      </c>
      <c r="G64" s="48">
        <f t="shared" si="18"/>
        <v>7776</v>
      </c>
      <c r="Q64" s="99"/>
      <c r="R64" s="99"/>
    </row>
    <row r="65" spans="1:28">
      <c r="B65" s="47" t="s">
        <v>157</v>
      </c>
      <c r="C65" s="94" t="s">
        <v>156</v>
      </c>
      <c r="D65" s="48">
        <v>0.55000000000000004</v>
      </c>
      <c r="E65" s="94">
        <f>N60/100</f>
        <v>864</v>
      </c>
      <c r="F65" s="48">
        <f t="shared" si="19"/>
        <v>475.20000000000005</v>
      </c>
      <c r="G65" s="48">
        <f t="shared" si="18"/>
        <v>5702.4000000000005</v>
      </c>
    </row>
    <row r="66" spans="1:28">
      <c r="B66" s="47" t="s">
        <v>158</v>
      </c>
      <c r="C66" s="94" t="s">
        <v>156</v>
      </c>
      <c r="D66" s="48">
        <v>2.4700000000000002</v>
      </c>
      <c r="E66" s="94">
        <f>N60/100</f>
        <v>864</v>
      </c>
      <c r="F66" s="48">
        <f t="shared" si="19"/>
        <v>2134.0800000000004</v>
      </c>
      <c r="G66" s="48">
        <f t="shared" si="18"/>
        <v>25608.960000000006</v>
      </c>
    </row>
    <row r="67" spans="1:28">
      <c r="A67" s="86"/>
      <c r="B67" s="47" t="s">
        <v>159</v>
      </c>
      <c r="C67" s="94" t="s">
        <v>156</v>
      </c>
      <c r="D67" s="48">
        <v>2.73</v>
      </c>
      <c r="E67" s="94">
        <f>N60/100</f>
        <v>864</v>
      </c>
      <c r="F67" s="48">
        <f t="shared" si="19"/>
        <v>2358.7199999999998</v>
      </c>
      <c r="G67" s="48">
        <f t="shared" si="18"/>
        <v>28304.639999999999</v>
      </c>
      <c r="S67" s="86"/>
      <c r="T67" s="86"/>
      <c r="U67" s="86"/>
      <c r="V67" s="86"/>
      <c r="W67" s="86"/>
      <c r="X67" s="86"/>
      <c r="Y67" s="86"/>
      <c r="Z67" s="86"/>
      <c r="AA67" s="86"/>
      <c r="AB67" s="86"/>
    </row>
    <row r="68" spans="1:28">
      <c r="B68" s="47" t="s">
        <v>160</v>
      </c>
      <c r="C68" s="94" t="s">
        <v>161</v>
      </c>
      <c r="D68" s="48">
        <v>0.2</v>
      </c>
      <c r="E68" s="94">
        <v>3120</v>
      </c>
      <c r="F68" s="48">
        <f t="shared" si="19"/>
        <v>624</v>
      </c>
      <c r="G68" s="48">
        <f t="shared" si="18"/>
        <v>7488</v>
      </c>
    </row>
    <row r="69" spans="1:28">
      <c r="B69" s="47" t="s">
        <v>162</v>
      </c>
      <c r="C69" s="94" t="s">
        <v>42</v>
      </c>
      <c r="D69" s="48">
        <v>2.2000000000000002</v>
      </c>
      <c r="E69" s="94">
        <v>5</v>
      </c>
      <c r="F69" s="48">
        <f t="shared" ref="F69:F70" si="20">D69*E69</f>
        <v>11</v>
      </c>
      <c r="G69" s="48">
        <f t="shared" si="18"/>
        <v>132</v>
      </c>
    </row>
    <row r="70" spans="1:28">
      <c r="B70" s="47" t="s">
        <v>163</v>
      </c>
      <c r="C70" s="94" t="s">
        <v>161</v>
      </c>
      <c r="D70" s="48">
        <v>7.96</v>
      </c>
      <c r="E70" s="94">
        <v>37.68</v>
      </c>
      <c r="F70" s="48">
        <f t="shared" si="20"/>
        <v>299.93279999999999</v>
      </c>
      <c r="G70" s="48">
        <f t="shared" si="18"/>
        <v>3599.1935999999996</v>
      </c>
      <c r="H70" s="80"/>
    </row>
    <row r="71" spans="1:28">
      <c r="B71" s="47" t="s">
        <v>164</v>
      </c>
      <c r="C71" s="94" t="s">
        <v>11</v>
      </c>
      <c r="D71" s="48" t="s">
        <v>11</v>
      </c>
      <c r="E71" s="94" t="s">
        <v>11</v>
      </c>
      <c r="F71" s="48">
        <v>50</v>
      </c>
      <c r="G71" s="48">
        <f t="shared" si="18"/>
        <v>600</v>
      </c>
      <c r="H71" s="80"/>
    </row>
    <row r="72" spans="1:28">
      <c r="C72" s="78"/>
      <c r="D72" s="79"/>
      <c r="E72" s="49" t="s">
        <v>17</v>
      </c>
      <c r="F72" s="49">
        <f t="shared" ref="F72:G72" si="21">SUM(F60:F71)</f>
        <v>79225.668799999999</v>
      </c>
      <c r="G72" s="49">
        <f t="shared" si="21"/>
        <v>950708.02559999994</v>
      </c>
      <c r="H72" s="80"/>
    </row>
    <row r="73" spans="1:28">
      <c r="C73" s="78"/>
      <c r="D73" s="79"/>
      <c r="E73" s="80"/>
      <c r="F73" s="79"/>
      <c r="G73" s="80"/>
      <c r="H73" s="80"/>
    </row>
    <row r="74" spans="1:28">
      <c r="B74" s="78"/>
      <c r="C74" s="79"/>
      <c r="D74" s="80"/>
      <c r="E74" s="79"/>
      <c r="F74" s="80"/>
      <c r="G74" s="80"/>
    </row>
    <row r="75" spans="1:28"/>
    <row r="76" spans="1:28">
      <c r="B76" s="251" t="s">
        <v>129</v>
      </c>
      <c r="C76" s="252"/>
      <c r="D76" s="252"/>
      <c r="E76" s="252"/>
      <c r="F76" s="252"/>
      <c r="G76" s="253"/>
      <c r="I76" s="267" t="s">
        <v>168</v>
      </c>
      <c r="J76" s="224"/>
      <c r="K76" s="224"/>
      <c r="L76" s="224"/>
      <c r="M76" s="224"/>
      <c r="N76" s="224"/>
      <c r="O76" s="224"/>
      <c r="P76" s="224"/>
      <c r="Q76" s="224"/>
      <c r="R76" s="224"/>
    </row>
    <row r="77" spans="1:28">
      <c r="B77" s="259"/>
      <c r="C77" s="260"/>
      <c r="D77" s="260"/>
      <c r="E77" s="260"/>
      <c r="F77" s="260"/>
      <c r="G77" s="261"/>
      <c r="I77" s="228"/>
      <c r="J77" s="228"/>
      <c r="K77" s="228"/>
      <c r="L77" s="228"/>
      <c r="M77" s="228"/>
      <c r="N77" s="228"/>
      <c r="O77" s="228"/>
      <c r="P77" s="228"/>
      <c r="Q77" s="228"/>
      <c r="R77" s="228"/>
    </row>
    <row r="78" spans="1:28">
      <c r="B78" s="57" t="s">
        <v>69</v>
      </c>
      <c r="C78" s="57" t="s">
        <v>114</v>
      </c>
      <c r="D78" s="57" t="s">
        <v>4</v>
      </c>
      <c r="E78" s="57" t="s">
        <v>5</v>
      </c>
      <c r="F78" s="70" t="s">
        <v>144</v>
      </c>
      <c r="G78" s="70" t="s">
        <v>145</v>
      </c>
      <c r="I78" s="89" t="s">
        <v>117</v>
      </c>
      <c r="J78" s="89" t="s">
        <v>118</v>
      </c>
      <c r="K78" s="90" t="s">
        <v>119</v>
      </c>
      <c r="L78" s="89" t="s">
        <v>120</v>
      </c>
      <c r="M78" s="89" t="s">
        <v>121</v>
      </c>
      <c r="N78" s="89" t="s">
        <v>122</v>
      </c>
      <c r="O78" s="89" t="s">
        <v>146</v>
      </c>
      <c r="P78" s="100" t="s">
        <v>166</v>
      </c>
      <c r="Q78" s="89" t="s">
        <v>148</v>
      </c>
      <c r="R78" s="92" t="s">
        <v>149</v>
      </c>
    </row>
    <row r="79" spans="1:28">
      <c r="B79" s="47" t="s">
        <v>136</v>
      </c>
      <c r="C79" s="94" t="s">
        <v>150</v>
      </c>
      <c r="D79" s="48">
        <f t="shared" ref="D79:F79" si="22">P79</f>
        <v>1.1399999999999999</v>
      </c>
      <c r="E79" s="95">
        <f t="shared" si="22"/>
        <v>31852.799999999999</v>
      </c>
      <c r="F79" s="48">
        <f t="shared" si="22"/>
        <v>36312.191999999995</v>
      </c>
      <c r="G79" s="48">
        <f t="shared" ref="G79:G90" si="23">F79*$C$15</f>
        <v>435746.30399999995</v>
      </c>
      <c r="H79" s="86"/>
      <c r="I79" s="68">
        <v>7</v>
      </c>
      <c r="J79" s="68">
        <v>60</v>
      </c>
      <c r="K79" s="68">
        <v>8</v>
      </c>
      <c r="L79" s="68">
        <f>K79*J79</f>
        <v>480</v>
      </c>
      <c r="M79" s="68">
        <f>I79*L79</f>
        <v>3360</v>
      </c>
      <c r="N79" s="68">
        <f>M79*$C$14</f>
        <v>100800</v>
      </c>
      <c r="O79" s="68">
        <v>31.6</v>
      </c>
      <c r="P79" s="96">
        <v>1.1399999999999999</v>
      </c>
      <c r="Q79" s="97">
        <f>(N79*O79)/100</f>
        <v>31852.799999999999</v>
      </c>
      <c r="R79" s="98">
        <f>P79*Q79</f>
        <v>36312.191999999995</v>
      </c>
    </row>
    <row r="80" spans="1:28">
      <c r="B80" s="47" t="s">
        <v>151</v>
      </c>
      <c r="C80" s="94" t="s">
        <v>152</v>
      </c>
      <c r="D80" s="48">
        <v>500</v>
      </c>
      <c r="E80" s="94">
        <v>10</v>
      </c>
      <c r="F80" s="48">
        <f>D80*E80</f>
        <v>5000</v>
      </c>
      <c r="G80" s="48">
        <f t="shared" si="23"/>
        <v>60000</v>
      </c>
    </row>
    <row r="81" spans="1:28">
      <c r="B81" s="47" t="s">
        <v>153</v>
      </c>
      <c r="C81" s="94" t="s">
        <v>152</v>
      </c>
      <c r="D81" s="48">
        <v>500</v>
      </c>
      <c r="E81" s="94">
        <v>13</v>
      </c>
      <c r="F81" s="48">
        <f t="shared" ref="F81:F87" si="24">E81*D81</f>
        <v>6500</v>
      </c>
      <c r="G81" s="48">
        <f t="shared" si="23"/>
        <v>78000</v>
      </c>
      <c r="Q81" s="99"/>
      <c r="R81" s="99"/>
    </row>
    <row r="82" spans="1:28">
      <c r="A82" s="86"/>
      <c r="B82" s="47" t="s">
        <v>154</v>
      </c>
      <c r="C82" s="94" t="s">
        <v>152</v>
      </c>
      <c r="D82" s="48">
        <v>3000</v>
      </c>
      <c r="E82" s="94">
        <v>10</v>
      </c>
      <c r="F82" s="48">
        <f t="shared" si="24"/>
        <v>30000</v>
      </c>
      <c r="G82" s="48">
        <f t="shared" si="23"/>
        <v>360000</v>
      </c>
      <c r="Q82" s="99"/>
      <c r="R82" s="99"/>
      <c r="S82" s="86"/>
      <c r="T82" s="86"/>
      <c r="U82" s="86"/>
      <c r="V82" s="86"/>
      <c r="W82" s="86"/>
      <c r="X82" s="86"/>
      <c r="Y82" s="86"/>
      <c r="Z82" s="86"/>
      <c r="AA82" s="86"/>
      <c r="AB82" s="86"/>
    </row>
    <row r="83" spans="1:28">
      <c r="B83" s="47" t="s">
        <v>155</v>
      </c>
      <c r="C83" s="94" t="s">
        <v>156</v>
      </c>
      <c r="D83" s="48">
        <v>0.75</v>
      </c>
      <c r="E83" s="94">
        <f>N79/100</f>
        <v>1008</v>
      </c>
      <c r="F83" s="48">
        <f t="shared" si="24"/>
        <v>756</v>
      </c>
      <c r="G83" s="48">
        <f t="shared" si="23"/>
        <v>9072</v>
      </c>
      <c r="Q83" s="99"/>
      <c r="R83" s="99"/>
    </row>
    <row r="84" spans="1:28">
      <c r="B84" s="47" t="s">
        <v>157</v>
      </c>
      <c r="C84" s="94" t="s">
        <v>156</v>
      </c>
      <c r="D84" s="48">
        <v>0.55000000000000004</v>
      </c>
      <c r="E84" s="94">
        <f>N79/100</f>
        <v>1008</v>
      </c>
      <c r="F84" s="48">
        <f t="shared" si="24"/>
        <v>554.40000000000009</v>
      </c>
      <c r="G84" s="48">
        <f t="shared" si="23"/>
        <v>6652.8000000000011</v>
      </c>
    </row>
    <row r="85" spans="1:28">
      <c r="B85" s="47" t="s">
        <v>158</v>
      </c>
      <c r="C85" s="94" t="s">
        <v>156</v>
      </c>
      <c r="D85" s="48">
        <v>2.4700000000000002</v>
      </c>
      <c r="E85" s="94">
        <f>N79/100</f>
        <v>1008</v>
      </c>
      <c r="F85" s="48">
        <f t="shared" si="24"/>
        <v>2489.7600000000002</v>
      </c>
      <c r="G85" s="48">
        <f t="shared" si="23"/>
        <v>29877.120000000003</v>
      </c>
    </row>
    <row r="86" spans="1:28">
      <c r="B86" s="47" t="s">
        <v>159</v>
      </c>
      <c r="C86" s="94" t="s">
        <v>156</v>
      </c>
      <c r="D86" s="48">
        <v>2.73</v>
      </c>
      <c r="E86" s="94">
        <f>N79/100</f>
        <v>1008</v>
      </c>
      <c r="F86" s="48">
        <f t="shared" si="24"/>
        <v>2751.84</v>
      </c>
      <c r="G86" s="48">
        <f t="shared" si="23"/>
        <v>33022.080000000002</v>
      </c>
    </row>
    <row r="87" spans="1:28">
      <c r="B87" s="47" t="s">
        <v>160</v>
      </c>
      <c r="C87" s="94" t="s">
        <v>161</v>
      </c>
      <c r="D87" s="48">
        <v>0.2</v>
      </c>
      <c r="E87" s="94">
        <v>3120</v>
      </c>
      <c r="F87" s="48">
        <f t="shared" si="24"/>
        <v>624</v>
      </c>
      <c r="G87" s="48">
        <f t="shared" si="23"/>
        <v>7488</v>
      </c>
    </row>
    <row r="88" spans="1:28">
      <c r="B88" s="47" t="s">
        <v>162</v>
      </c>
      <c r="C88" s="94" t="s">
        <v>42</v>
      </c>
      <c r="D88" s="48">
        <v>2.2000000000000002</v>
      </c>
      <c r="E88" s="94">
        <v>5</v>
      </c>
      <c r="F88" s="48">
        <f t="shared" ref="F88:F89" si="25">D88*E88</f>
        <v>11</v>
      </c>
      <c r="G88" s="48">
        <f t="shared" si="23"/>
        <v>132</v>
      </c>
    </row>
    <row r="89" spans="1:28">
      <c r="B89" s="47" t="s">
        <v>163</v>
      </c>
      <c r="C89" s="94" t="s">
        <v>161</v>
      </c>
      <c r="D89" s="48">
        <v>7.96</v>
      </c>
      <c r="E89" s="94">
        <v>37.68</v>
      </c>
      <c r="F89" s="48">
        <f t="shared" si="25"/>
        <v>299.93279999999999</v>
      </c>
      <c r="G89" s="48">
        <f t="shared" si="23"/>
        <v>3599.1935999999996</v>
      </c>
      <c r="H89" s="80"/>
    </row>
    <row r="90" spans="1:28">
      <c r="B90" s="47" t="s">
        <v>164</v>
      </c>
      <c r="C90" s="94" t="s">
        <v>11</v>
      </c>
      <c r="D90" s="48" t="s">
        <v>11</v>
      </c>
      <c r="E90" s="94" t="s">
        <v>11</v>
      </c>
      <c r="F90" s="48">
        <v>50</v>
      </c>
      <c r="G90" s="48">
        <f t="shared" si="23"/>
        <v>600</v>
      </c>
      <c r="H90" s="80"/>
    </row>
    <row r="91" spans="1:28">
      <c r="C91" s="78"/>
      <c r="D91" s="79"/>
      <c r="E91" s="49" t="s">
        <v>17</v>
      </c>
      <c r="F91" s="49">
        <f t="shared" ref="F91:G91" si="26">SUM(F79:F90)</f>
        <v>85349.124799999976</v>
      </c>
      <c r="G91" s="49">
        <f t="shared" si="26"/>
        <v>1024189.4976</v>
      </c>
      <c r="H91" s="80"/>
    </row>
    <row r="92" spans="1:28">
      <c r="C92" s="78"/>
      <c r="D92" s="79"/>
      <c r="E92" s="80"/>
      <c r="F92" s="79"/>
      <c r="G92" s="80"/>
      <c r="H92" s="80"/>
    </row>
    <row r="93" spans="1:28">
      <c r="B93" s="78"/>
      <c r="C93" s="79"/>
      <c r="D93" s="80"/>
      <c r="E93" s="79"/>
      <c r="F93" s="80"/>
      <c r="G93" s="80"/>
    </row>
    <row r="94" spans="1:28"/>
    <row r="95" spans="1:28">
      <c r="B95" s="251" t="s">
        <v>131</v>
      </c>
      <c r="C95" s="252"/>
      <c r="D95" s="252"/>
      <c r="E95" s="252"/>
      <c r="F95" s="252"/>
      <c r="G95" s="253"/>
      <c r="I95" s="267" t="s">
        <v>169</v>
      </c>
      <c r="J95" s="224"/>
      <c r="K95" s="224"/>
      <c r="L95" s="224"/>
      <c r="M95" s="224"/>
      <c r="N95" s="224"/>
      <c r="O95" s="224"/>
      <c r="P95" s="224"/>
      <c r="Q95" s="224"/>
      <c r="R95" s="224"/>
    </row>
    <row r="96" spans="1:28">
      <c r="B96" s="259"/>
      <c r="C96" s="260"/>
      <c r="D96" s="260"/>
      <c r="E96" s="260"/>
      <c r="F96" s="260"/>
      <c r="G96" s="261"/>
      <c r="I96" s="228"/>
      <c r="J96" s="228"/>
      <c r="K96" s="228"/>
      <c r="L96" s="228"/>
      <c r="M96" s="228"/>
      <c r="N96" s="228"/>
      <c r="O96" s="228"/>
      <c r="P96" s="228"/>
      <c r="Q96" s="228"/>
      <c r="R96" s="228"/>
    </row>
    <row r="97" spans="1:28">
      <c r="A97" s="86"/>
      <c r="B97" s="57" t="s">
        <v>69</v>
      </c>
      <c r="C97" s="57" t="s">
        <v>114</v>
      </c>
      <c r="D97" s="57" t="s">
        <v>4</v>
      </c>
      <c r="E97" s="57" t="s">
        <v>5</v>
      </c>
      <c r="F97" s="70" t="s">
        <v>144</v>
      </c>
      <c r="G97" s="70" t="s">
        <v>145</v>
      </c>
      <c r="I97" s="89" t="s">
        <v>117</v>
      </c>
      <c r="J97" s="89" t="s">
        <v>118</v>
      </c>
      <c r="K97" s="90" t="s">
        <v>119</v>
      </c>
      <c r="L97" s="89" t="s">
        <v>120</v>
      </c>
      <c r="M97" s="89" t="s">
        <v>121</v>
      </c>
      <c r="N97" s="89" t="s">
        <v>122</v>
      </c>
      <c r="O97" s="89" t="s">
        <v>146</v>
      </c>
      <c r="P97" s="100" t="s">
        <v>166</v>
      </c>
      <c r="Q97" s="89" t="s">
        <v>148</v>
      </c>
      <c r="R97" s="92" t="s">
        <v>149</v>
      </c>
      <c r="S97" s="86"/>
      <c r="T97" s="86"/>
      <c r="U97" s="86"/>
      <c r="V97" s="86"/>
      <c r="W97" s="86"/>
      <c r="X97" s="86"/>
      <c r="Y97" s="86"/>
      <c r="Z97" s="86"/>
      <c r="AA97" s="86"/>
      <c r="AB97" s="86"/>
    </row>
    <row r="98" spans="1:28">
      <c r="B98" s="47" t="s">
        <v>136</v>
      </c>
      <c r="C98" s="94" t="s">
        <v>150</v>
      </c>
      <c r="D98" s="48">
        <f t="shared" ref="D98:F98" si="27">P98</f>
        <v>1.1399999999999999</v>
      </c>
      <c r="E98" s="95">
        <f t="shared" si="27"/>
        <v>40953.599999999999</v>
      </c>
      <c r="F98" s="48">
        <f t="shared" si="27"/>
        <v>46687.103999999992</v>
      </c>
      <c r="G98" s="48">
        <f t="shared" ref="G98:G109" si="28">F98*$C$15</f>
        <v>560245.24799999991</v>
      </c>
      <c r="H98" s="86"/>
      <c r="I98" s="68">
        <v>9</v>
      </c>
      <c r="J98" s="68">
        <v>60</v>
      </c>
      <c r="K98" s="68">
        <v>8</v>
      </c>
      <c r="L98" s="68">
        <f>K98*J98</f>
        <v>480</v>
      </c>
      <c r="M98" s="68">
        <f>I98*L98</f>
        <v>4320</v>
      </c>
      <c r="N98" s="68">
        <f>M98*$C$14</f>
        <v>129600</v>
      </c>
      <c r="O98" s="68">
        <v>31.6</v>
      </c>
      <c r="P98" s="96">
        <v>1.1399999999999999</v>
      </c>
      <c r="Q98" s="97">
        <f>(N98*O98)/100</f>
        <v>40953.599999999999</v>
      </c>
      <c r="R98" s="98">
        <f>P98*Q98</f>
        <v>46687.103999999992</v>
      </c>
    </row>
    <row r="99" spans="1:28">
      <c r="B99" s="47" t="s">
        <v>151</v>
      </c>
      <c r="C99" s="94" t="s">
        <v>152</v>
      </c>
      <c r="D99" s="48">
        <v>500</v>
      </c>
      <c r="E99" s="94">
        <v>10</v>
      </c>
      <c r="F99" s="48">
        <f>D99*E99</f>
        <v>5000</v>
      </c>
      <c r="G99" s="48">
        <f t="shared" si="28"/>
        <v>60000</v>
      </c>
    </row>
    <row r="100" spans="1:28">
      <c r="B100" s="47" t="s">
        <v>153</v>
      </c>
      <c r="C100" s="94" t="s">
        <v>152</v>
      </c>
      <c r="D100" s="48">
        <v>500</v>
      </c>
      <c r="E100" s="94">
        <v>13</v>
      </c>
      <c r="F100" s="48">
        <f t="shared" ref="F100:F106" si="29">E100*D100</f>
        <v>6500</v>
      </c>
      <c r="G100" s="48">
        <f t="shared" si="28"/>
        <v>78000</v>
      </c>
      <c r="Q100" s="99"/>
      <c r="R100" s="99"/>
    </row>
    <row r="101" spans="1:28">
      <c r="B101" s="47" t="s">
        <v>154</v>
      </c>
      <c r="C101" s="94" t="s">
        <v>152</v>
      </c>
      <c r="D101" s="48">
        <v>3000</v>
      </c>
      <c r="E101" s="94">
        <v>10</v>
      </c>
      <c r="F101" s="48">
        <f t="shared" si="29"/>
        <v>30000</v>
      </c>
      <c r="G101" s="48">
        <f t="shared" si="28"/>
        <v>360000</v>
      </c>
      <c r="Q101" s="99"/>
      <c r="R101" s="99"/>
    </row>
    <row r="102" spans="1:28">
      <c r="B102" s="47" t="s">
        <v>155</v>
      </c>
      <c r="C102" s="94" t="s">
        <v>156</v>
      </c>
      <c r="D102" s="48">
        <v>0.75</v>
      </c>
      <c r="E102" s="94">
        <f>N98/100</f>
        <v>1296</v>
      </c>
      <c r="F102" s="48">
        <f t="shared" si="29"/>
        <v>972</v>
      </c>
      <c r="G102" s="48">
        <f t="shared" si="28"/>
        <v>11664</v>
      </c>
      <c r="Q102" s="99"/>
      <c r="R102" s="99"/>
    </row>
    <row r="103" spans="1:28">
      <c r="B103" s="47" t="s">
        <v>157</v>
      </c>
      <c r="C103" s="94" t="s">
        <v>156</v>
      </c>
      <c r="D103" s="48">
        <v>0.55000000000000004</v>
      </c>
      <c r="E103" s="94">
        <f>N98/100</f>
        <v>1296</v>
      </c>
      <c r="F103" s="48">
        <f t="shared" si="29"/>
        <v>712.80000000000007</v>
      </c>
      <c r="G103" s="48">
        <f t="shared" si="28"/>
        <v>8553.6</v>
      </c>
    </row>
    <row r="104" spans="1:28">
      <c r="B104" s="47" t="s">
        <v>158</v>
      </c>
      <c r="C104" s="94" t="s">
        <v>156</v>
      </c>
      <c r="D104" s="48">
        <v>2.4700000000000002</v>
      </c>
      <c r="E104" s="94">
        <f>N98/100</f>
        <v>1296</v>
      </c>
      <c r="F104" s="48">
        <f t="shared" si="29"/>
        <v>3201.1200000000003</v>
      </c>
      <c r="G104" s="48">
        <f t="shared" si="28"/>
        <v>38413.440000000002</v>
      </c>
    </row>
    <row r="105" spans="1:28">
      <c r="B105" s="47" t="s">
        <v>159</v>
      </c>
      <c r="C105" s="94" t="s">
        <v>156</v>
      </c>
      <c r="D105" s="48">
        <v>2.73</v>
      </c>
      <c r="E105" s="94">
        <f>N98/100</f>
        <v>1296</v>
      </c>
      <c r="F105" s="48">
        <f t="shared" si="29"/>
        <v>3538.08</v>
      </c>
      <c r="G105" s="48">
        <f t="shared" si="28"/>
        <v>42456.959999999999</v>
      </c>
    </row>
    <row r="106" spans="1:28">
      <c r="B106" s="47" t="s">
        <v>160</v>
      </c>
      <c r="C106" s="94" t="s">
        <v>161</v>
      </c>
      <c r="D106" s="48">
        <v>0.2</v>
      </c>
      <c r="E106" s="94">
        <v>3120</v>
      </c>
      <c r="F106" s="48">
        <f t="shared" si="29"/>
        <v>624</v>
      </c>
      <c r="G106" s="48">
        <f t="shared" si="28"/>
        <v>7488</v>
      </c>
    </row>
    <row r="107" spans="1:28">
      <c r="B107" s="47" t="s">
        <v>162</v>
      </c>
      <c r="C107" s="94" t="s">
        <v>42</v>
      </c>
      <c r="D107" s="48">
        <v>2.2000000000000002</v>
      </c>
      <c r="E107" s="94">
        <v>5</v>
      </c>
      <c r="F107" s="48">
        <f t="shared" ref="F107:F108" si="30">D107*E107</f>
        <v>11</v>
      </c>
      <c r="G107" s="48">
        <f t="shared" si="28"/>
        <v>132</v>
      </c>
    </row>
    <row r="108" spans="1:28">
      <c r="B108" s="47" t="s">
        <v>163</v>
      </c>
      <c r="C108" s="94" t="s">
        <v>161</v>
      </c>
      <c r="D108" s="48">
        <v>7.96</v>
      </c>
      <c r="E108" s="94">
        <v>37.68</v>
      </c>
      <c r="F108" s="48">
        <f t="shared" si="30"/>
        <v>299.93279999999999</v>
      </c>
      <c r="G108" s="48">
        <f t="shared" si="28"/>
        <v>3599.1935999999996</v>
      </c>
      <c r="H108" s="80"/>
    </row>
    <row r="109" spans="1:28">
      <c r="B109" s="47" t="s">
        <v>164</v>
      </c>
      <c r="C109" s="94" t="s">
        <v>11</v>
      </c>
      <c r="D109" s="48" t="s">
        <v>11</v>
      </c>
      <c r="E109" s="94" t="s">
        <v>11</v>
      </c>
      <c r="F109" s="48">
        <v>50</v>
      </c>
      <c r="G109" s="48">
        <f t="shared" si="28"/>
        <v>600</v>
      </c>
      <c r="H109" s="80"/>
    </row>
    <row r="110" spans="1:28">
      <c r="C110" s="78"/>
      <c r="D110" s="79"/>
      <c r="E110" s="49" t="s">
        <v>17</v>
      </c>
      <c r="F110" s="49">
        <f t="shared" ref="F110:G110" si="31">SUM(F98:F109)</f>
        <v>97596.036799999987</v>
      </c>
      <c r="G110" s="49">
        <f t="shared" si="31"/>
        <v>1171152.4416</v>
      </c>
      <c r="H110" s="80"/>
    </row>
    <row r="111" spans="1:28"/>
    <row r="112" spans="1:28">
      <c r="C112" s="78"/>
      <c r="D112" s="79"/>
      <c r="E112" s="80"/>
      <c r="F112" s="79"/>
      <c r="G112" s="80"/>
      <c r="H112" s="80"/>
    </row>
    <row r="113" spans="2:18"/>
    <row r="114" spans="2:18">
      <c r="B114" s="251" t="s">
        <v>170</v>
      </c>
      <c r="C114" s="252"/>
      <c r="D114" s="252"/>
      <c r="E114" s="252"/>
      <c r="F114" s="252"/>
      <c r="G114" s="253"/>
      <c r="I114" s="267" t="s">
        <v>171</v>
      </c>
      <c r="J114" s="224"/>
      <c r="K114" s="224"/>
      <c r="L114" s="224"/>
      <c r="M114" s="224"/>
      <c r="N114" s="224"/>
      <c r="O114" s="224"/>
      <c r="P114" s="224"/>
      <c r="Q114" s="224"/>
      <c r="R114" s="224"/>
    </row>
    <row r="115" spans="2:18">
      <c r="B115" s="259"/>
      <c r="C115" s="260"/>
      <c r="D115" s="260"/>
      <c r="E115" s="260"/>
      <c r="F115" s="260"/>
      <c r="G115" s="261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</row>
    <row r="116" spans="2:18">
      <c r="B116" s="57" t="s">
        <v>69</v>
      </c>
      <c r="C116" s="57" t="s">
        <v>114</v>
      </c>
      <c r="D116" s="57" t="s">
        <v>4</v>
      </c>
      <c r="E116" s="57" t="s">
        <v>5</v>
      </c>
      <c r="F116" s="70" t="s">
        <v>144</v>
      </c>
      <c r="G116" s="70" t="s">
        <v>145</v>
      </c>
      <c r="I116" s="89" t="s">
        <v>117</v>
      </c>
      <c r="J116" s="89" t="s">
        <v>118</v>
      </c>
      <c r="K116" s="90" t="s">
        <v>119</v>
      </c>
      <c r="L116" s="89" t="s">
        <v>120</v>
      </c>
      <c r="M116" s="89" t="s">
        <v>121</v>
      </c>
      <c r="N116" s="89" t="s">
        <v>122</v>
      </c>
      <c r="O116" s="89" t="s">
        <v>146</v>
      </c>
      <c r="P116" s="100" t="s">
        <v>166</v>
      </c>
      <c r="Q116" s="89" t="s">
        <v>148</v>
      </c>
      <c r="R116" s="92" t="s">
        <v>149</v>
      </c>
    </row>
    <row r="117" spans="2:18">
      <c r="B117" s="47" t="s">
        <v>136</v>
      </c>
      <c r="C117" s="94" t="s">
        <v>150</v>
      </c>
      <c r="D117" s="48">
        <f t="shared" ref="D117:F117" si="32">P117</f>
        <v>1.1399999999999999</v>
      </c>
      <c r="E117" s="95">
        <f t="shared" si="32"/>
        <v>45504</v>
      </c>
      <c r="F117" s="48">
        <f t="shared" si="32"/>
        <v>51874.559999999998</v>
      </c>
      <c r="G117" s="48">
        <f t="shared" ref="G117:G129" si="33">F117*$C$15</f>
        <v>622494.71999999997</v>
      </c>
      <c r="H117" s="86"/>
      <c r="I117" s="68">
        <v>10</v>
      </c>
      <c r="J117" s="68">
        <v>60</v>
      </c>
      <c r="K117" s="68">
        <v>8</v>
      </c>
      <c r="L117" s="68">
        <f>K117*J117</f>
        <v>480</v>
      </c>
      <c r="M117" s="68">
        <f>I117*L117</f>
        <v>4800</v>
      </c>
      <c r="N117" s="68">
        <f>M117*$C$14</f>
        <v>144000</v>
      </c>
      <c r="O117" s="68">
        <v>31.6</v>
      </c>
      <c r="P117" s="96">
        <v>1.1399999999999999</v>
      </c>
      <c r="Q117" s="97">
        <f>(N117*O117)/100</f>
        <v>45504</v>
      </c>
      <c r="R117" s="98">
        <f>P117*Q117</f>
        <v>51874.559999999998</v>
      </c>
    </row>
    <row r="118" spans="2:18">
      <c r="B118" s="47" t="s">
        <v>151</v>
      </c>
      <c r="C118" s="94" t="s">
        <v>152</v>
      </c>
      <c r="D118" s="48">
        <v>500</v>
      </c>
      <c r="E118" s="94">
        <v>10</v>
      </c>
      <c r="F118" s="48">
        <f>D118*E118</f>
        <v>5000</v>
      </c>
      <c r="G118" s="48">
        <f t="shared" si="33"/>
        <v>60000</v>
      </c>
    </row>
    <row r="119" spans="2:18">
      <c r="B119" s="47" t="s">
        <v>153</v>
      </c>
      <c r="C119" s="94" t="s">
        <v>152</v>
      </c>
      <c r="D119" s="48">
        <v>500</v>
      </c>
      <c r="E119" s="94">
        <v>13</v>
      </c>
      <c r="F119" s="48">
        <f t="shared" ref="F119:F126" si="34">E119*D119</f>
        <v>6500</v>
      </c>
      <c r="G119" s="48">
        <f t="shared" si="33"/>
        <v>78000</v>
      </c>
      <c r="Q119" s="99"/>
      <c r="R119" s="99"/>
    </row>
    <row r="120" spans="2:18">
      <c r="B120" s="47" t="s">
        <v>154</v>
      </c>
      <c r="C120" s="94" t="s">
        <v>152</v>
      </c>
      <c r="D120" s="48">
        <v>3000</v>
      </c>
      <c r="E120" s="94">
        <v>10</v>
      </c>
      <c r="F120" s="48">
        <f t="shared" si="34"/>
        <v>30000</v>
      </c>
      <c r="G120" s="48">
        <f t="shared" si="33"/>
        <v>360000</v>
      </c>
      <c r="Q120" s="99"/>
      <c r="R120" s="99"/>
    </row>
    <row r="121" spans="2:18">
      <c r="B121" s="47" t="s">
        <v>172</v>
      </c>
      <c r="C121" s="94" t="s">
        <v>156</v>
      </c>
      <c r="D121" s="48">
        <v>12</v>
      </c>
      <c r="E121" s="94">
        <f>$N$117/100</f>
        <v>1440</v>
      </c>
      <c r="F121" s="48">
        <f t="shared" si="34"/>
        <v>17280</v>
      </c>
      <c r="G121" s="48">
        <f t="shared" si="33"/>
        <v>207360</v>
      </c>
      <c r="Q121" s="99"/>
      <c r="R121" s="99"/>
    </row>
    <row r="122" spans="2:18">
      <c r="B122" s="47" t="s">
        <v>155</v>
      </c>
      <c r="C122" s="94" t="s">
        <v>156</v>
      </c>
      <c r="D122" s="48">
        <v>0.75</v>
      </c>
      <c r="E122" s="94">
        <f>N117/100</f>
        <v>1440</v>
      </c>
      <c r="F122" s="48">
        <f t="shared" si="34"/>
        <v>1080</v>
      </c>
      <c r="G122" s="48">
        <f t="shared" si="33"/>
        <v>12960</v>
      </c>
      <c r="Q122" s="99"/>
      <c r="R122" s="99"/>
    </row>
    <row r="123" spans="2:18">
      <c r="B123" s="47" t="s">
        <v>157</v>
      </c>
      <c r="C123" s="94" t="s">
        <v>156</v>
      </c>
      <c r="D123" s="48">
        <v>0.55000000000000004</v>
      </c>
      <c r="E123" s="94">
        <f>N117/100</f>
        <v>1440</v>
      </c>
      <c r="F123" s="48">
        <f t="shared" si="34"/>
        <v>792.00000000000011</v>
      </c>
      <c r="G123" s="48">
        <f t="shared" si="33"/>
        <v>9504.0000000000018</v>
      </c>
    </row>
    <row r="124" spans="2:18">
      <c r="B124" s="47" t="s">
        <v>158</v>
      </c>
      <c r="C124" s="94" t="s">
        <v>156</v>
      </c>
      <c r="D124" s="48">
        <v>2.4700000000000002</v>
      </c>
      <c r="E124" s="94">
        <f>N117/100</f>
        <v>1440</v>
      </c>
      <c r="F124" s="48">
        <f t="shared" si="34"/>
        <v>3556.8</v>
      </c>
      <c r="G124" s="48">
        <f t="shared" si="33"/>
        <v>42681.600000000006</v>
      </c>
    </row>
    <row r="125" spans="2:18">
      <c r="B125" s="47" t="s">
        <v>159</v>
      </c>
      <c r="C125" s="94" t="s">
        <v>156</v>
      </c>
      <c r="D125" s="48">
        <v>2.73</v>
      </c>
      <c r="E125" s="94">
        <f>N117/100</f>
        <v>1440</v>
      </c>
      <c r="F125" s="48">
        <f t="shared" si="34"/>
        <v>3931.2</v>
      </c>
      <c r="G125" s="48">
        <f t="shared" si="33"/>
        <v>47174.399999999994</v>
      </c>
    </row>
    <row r="126" spans="2:18">
      <c r="B126" s="47" t="s">
        <v>160</v>
      </c>
      <c r="C126" s="94" t="s">
        <v>161</v>
      </c>
      <c r="D126" s="48">
        <v>0.2</v>
      </c>
      <c r="E126" s="94">
        <v>3120</v>
      </c>
      <c r="F126" s="48">
        <f t="shared" si="34"/>
        <v>624</v>
      </c>
      <c r="G126" s="48">
        <f t="shared" si="33"/>
        <v>7488</v>
      </c>
    </row>
    <row r="127" spans="2:18">
      <c r="B127" s="47" t="s">
        <v>162</v>
      </c>
      <c r="C127" s="94" t="s">
        <v>42</v>
      </c>
      <c r="D127" s="48">
        <v>2.2000000000000002</v>
      </c>
      <c r="E127" s="94">
        <v>5</v>
      </c>
      <c r="F127" s="48">
        <f t="shared" ref="F127:F128" si="35">D127*E127</f>
        <v>11</v>
      </c>
      <c r="G127" s="48">
        <f t="shared" si="33"/>
        <v>132</v>
      </c>
    </row>
    <row r="128" spans="2:18">
      <c r="B128" s="47" t="s">
        <v>163</v>
      </c>
      <c r="C128" s="94" t="s">
        <v>161</v>
      </c>
      <c r="D128" s="48">
        <v>7.96</v>
      </c>
      <c r="E128" s="94">
        <v>37.68</v>
      </c>
      <c r="F128" s="48">
        <f t="shared" si="35"/>
        <v>299.93279999999999</v>
      </c>
      <c r="G128" s="48">
        <f t="shared" si="33"/>
        <v>3599.1935999999996</v>
      </c>
      <c r="H128" s="80"/>
    </row>
    <row r="129" spans="2:8">
      <c r="B129" s="47" t="s">
        <v>164</v>
      </c>
      <c r="C129" s="94" t="s">
        <v>11</v>
      </c>
      <c r="D129" s="48" t="s">
        <v>11</v>
      </c>
      <c r="E129" s="94" t="s">
        <v>11</v>
      </c>
      <c r="F129" s="48">
        <v>50</v>
      </c>
      <c r="G129" s="48">
        <f t="shared" si="33"/>
        <v>600</v>
      </c>
      <c r="H129" s="80"/>
    </row>
    <row r="130" spans="2:8">
      <c r="C130" s="78"/>
      <c r="D130" s="79"/>
      <c r="E130" s="49" t="s">
        <v>17</v>
      </c>
      <c r="F130" s="49">
        <f t="shared" ref="F130:G130" si="36">SUM(F117:F129)</f>
        <v>120999.49279999999</v>
      </c>
      <c r="G130" s="49">
        <f t="shared" si="36"/>
        <v>1451993.9136000001</v>
      </c>
      <c r="H130" s="80"/>
    </row>
    <row r="131" spans="2:8"/>
    <row r="132" spans="2:8"/>
    <row r="133" spans="2:8"/>
    <row r="134" spans="2:8"/>
    <row r="135" spans="2:8"/>
    <row r="136" spans="2:8"/>
    <row r="137" spans="2:8"/>
    <row r="138" spans="2:8"/>
    <row r="139" spans="2:8"/>
    <row r="140" spans="2:8"/>
    <row r="141" spans="2:8"/>
    <row r="142" spans="2:8"/>
    <row r="143" spans="2:8"/>
    <row r="144" spans="2:8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</sheetData>
  <mergeCells count="13">
    <mergeCell ref="B57:G58"/>
    <mergeCell ref="I57:R58"/>
    <mergeCell ref="B2:L3"/>
    <mergeCell ref="B18:G19"/>
    <mergeCell ref="I18:R19"/>
    <mergeCell ref="B38:G39"/>
    <mergeCell ref="I38:R39"/>
    <mergeCell ref="B76:G77"/>
    <mergeCell ref="I76:R77"/>
    <mergeCell ref="B95:G96"/>
    <mergeCell ref="I95:R96"/>
    <mergeCell ref="B114:G115"/>
    <mergeCell ref="I114:R1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B1:L991"/>
  <sheetViews>
    <sheetView workbookViewId="0"/>
  </sheetViews>
  <sheetFormatPr defaultColWidth="14.42578125" defaultRowHeight="15" customHeight="1"/>
  <cols>
    <col min="2" max="2" width="32.85546875" customWidth="1"/>
    <col min="3" max="12" width="20" customWidth="1"/>
  </cols>
  <sheetData>
    <row r="1" spans="2:5"/>
    <row r="2" spans="2:5">
      <c r="B2" s="230" t="s">
        <v>173</v>
      </c>
      <c r="C2" s="224"/>
      <c r="D2" s="224"/>
      <c r="E2" s="224"/>
    </row>
    <row r="3" spans="2:5">
      <c r="B3" s="228"/>
      <c r="C3" s="228"/>
      <c r="D3" s="228"/>
      <c r="E3" s="228"/>
    </row>
    <row r="4" spans="2:5">
      <c r="B4" s="268"/>
      <c r="C4" s="233"/>
      <c r="D4" s="101" t="s">
        <v>174</v>
      </c>
      <c r="E4" s="101" t="s">
        <v>175</v>
      </c>
    </row>
    <row r="5" spans="2:5">
      <c r="B5" s="41" t="s">
        <v>176</v>
      </c>
      <c r="C5" s="102"/>
      <c r="D5" s="103">
        <v>2950</v>
      </c>
      <c r="E5" s="103">
        <v>1746.87</v>
      </c>
    </row>
    <row r="6" spans="2:5">
      <c r="B6" s="104" t="s">
        <v>177</v>
      </c>
      <c r="C6" s="105">
        <v>0.15</v>
      </c>
      <c r="D6" s="106">
        <f t="shared" ref="D6:E6" si="0">D5*$C$6</f>
        <v>442.5</v>
      </c>
      <c r="E6" s="106">
        <f t="shared" si="0"/>
        <v>262.03049999999996</v>
      </c>
    </row>
    <row r="7" spans="2:5">
      <c r="B7" s="104" t="s">
        <v>178</v>
      </c>
      <c r="C7" s="105">
        <v>0.05</v>
      </c>
      <c r="D7" s="106">
        <f t="shared" ref="D7:E7" si="1">D5*$C$7</f>
        <v>147.5</v>
      </c>
      <c r="E7" s="106">
        <f t="shared" si="1"/>
        <v>87.343500000000006</v>
      </c>
    </row>
    <row r="8" spans="2:5">
      <c r="B8" s="107" t="s">
        <v>179</v>
      </c>
      <c r="C8" s="107"/>
      <c r="D8" s="108">
        <f t="shared" ref="D8:E8" si="2">D5-D6-D7</f>
        <v>2360</v>
      </c>
      <c r="E8" s="108">
        <f t="shared" si="2"/>
        <v>1397.4960000000001</v>
      </c>
    </row>
    <row r="9" spans="2:5">
      <c r="B9" s="104" t="s">
        <v>180</v>
      </c>
      <c r="C9" s="105"/>
      <c r="D9" s="106">
        <v>560</v>
      </c>
      <c r="E9" s="106">
        <v>560</v>
      </c>
    </row>
    <row r="10" spans="2:5">
      <c r="B10" s="104" t="s">
        <v>181</v>
      </c>
      <c r="C10" s="105"/>
      <c r="D10" s="106">
        <f t="shared" ref="D10:E10" si="3">D8-D9</f>
        <v>1800</v>
      </c>
      <c r="E10" s="106">
        <f t="shared" si="3"/>
        <v>837.49600000000009</v>
      </c>
    </row>
    <row r="11" spans="2:5">
      <c r="B11" s="104" t="s">
        <v>182</v>
      </c>
      <c r="C11" s="105">
        <v>0.2</v>
      </c>
      <c r="D11" s="106">
        <f t="shared" ref="D11:E11" si="4">D10*$C$11</f>
        <v>360</v>
      </c>
      <c r="E11" s="106">
        <f t="shared" si="4"/>
        <v>167.49920000000003</v>
      </c>
    </row>
    <row r="12" spans="2:5">
      <c r="B12" s="104" t="s">
        <v>183</v>
      </c>
      <c r="C12" s="105">
        <v>0.16500000000000001</v>
      </c>
      <c r="D12" s="106">
        <f t="shared" ref="D12:E12" si="5">D5*$C$12</f>
        <v>486.75</v>
      </c>
      <c r="E12" s="106">
        <f t="shared" si="5"/>
        <v>288.23354999999998</v>
      </c>
    </row>
    <row r="13" spans="2:5">
      <c r="B13" s="41" t="s">
        <v>184</v>
      </c>
      <c r="C13" s="109"/>
      <c r="D13" s="103">
        <f t="shared" ref="D13:E13" si="6">D8-D11</f>
        <v>2000</v>
      </c>
      <c r="E13" s="103">
        <f t="shared" si="6"/>
        <v>1229.9968000000001</v>
      </c>
    </row>
    <row r="14" spans="2:5">
      <c r="B14" s="41" t="s">
        <v>185</v>
      </c>
      <c r="C14" s="109"/>
      <c r="D14" s="103">
        <f t="shared" ref="D14:E14" si="7">D5+D12</f>
        <v>3436.75</v>
      </c>
      <c r="E14" s="103">
        <f t="shared" si="7"/>
        <v>2035.1035499999998</v>
      </c>
    </row>
    <row r="15" spans="2:5"/>
    <row r="16" spans="2:5"/>
    <row r="17" spans="2:12">
      <c r="B17" s="251" t="s">
        <v>186</v>
      </c>
      <c r="C17" s="252"/>
      <c r="D17" s="252"/>
      <c r="E17" s="252"/>
      <c r="F17" s="252"/>
      <c r="G17" s="252"/>
      <c r="H17" s="252"/>
      <c r="I17" s="252"/>
      <c r="J17" s="252"/>
      <c r="K17" s="252"/>
      <c r="L17" s="253"/>
    </row>
    <row r="18" spans="2:12">
      <c r="B18" s="254"/>
      <c r="C18" s="228"/>
      <c r="D18" s="228"/>
      <c r="E18" s="228"/>
      <c r="F18" s="228"/>
      <c r="G18" s="228"/>
      <c r="H18" s="228"/>
      <c r="I18" s="228"/>
      <c r="J18" s="228"/>
      <c r="K18" s="228"/>
      <c r="L18" s="255"/>
    </row>
    <row r="19" spans="2:12">
      <c r="B19" s="110" t="s">
        <v>107</v>
      </c>
      <c r="C19" s="111">
        <v>2025</v>
      </c>
      <c r="D19" s="111">
        <v>2026</v>
      </c>
      <c r="E19" s="111">
        <v>2027</v>
      </c>
      <c r="F19" s="111">
        <v>2028</v>
      </c>
      <c r="G19" s="111">
        <v>2029</v>
      </c>
      <c r="H19" s="111">
        <v>2030</v>
      </c>
      <c r="I19" s="111">
        <v>2031</v>
      </c>
      <c r="J19" s="111">
        <v>2032</v>
      </c>
      <c r="K19" s="111">
        <v>2033</v>
      </c>
      <c r="L19" s="111">
        <v>2034</v>
      </c>
    </row>
    <row r="20" spans="2:12">
      <c r="B20" s="45" t="s">
        <v>187</v>
      </c>
      <c r="C20" s="43">
        <v>10</v>
      </c>
      <c r="D20" s="43">
        <v>10</v>
      </c>
      <c r="E20" s="43">
        <v>12</v>
      </c>
      <c r="F20" s="43">
        <v>14</v>
      </c>
      <c r="G20" s="43">
        <v>18</v>
      </c>
      <c r="H20" s="43">
        <v>20</v>
      </c>
      <c r="I20" s="43">
        <v>20</v>
      </c>
      <c r="J20" s="43">
        <v>20</v>
      </c>
      <c r="K20" s="43">
        <v>20</v>
      </c>
      <c r="L20" s="43">
        <v>20</v>
      </c>
    </row>
    <row r="21" spans="2:12">
      <c r="B21" s="45" t="s">
        <v>188</v>
      </c>
      <c r="C21" s="43">
        <v>3</v>
      </c>
      <c r="D21" s="43">
        <v>3</v>
      </c>
      <c r="E21" s="43">
        <v>3</v>
      </c>
      <c r="F21" s="43">
        <v>3</v>
      </c>
      <c r="G21" s="43">
        <v>3</v>
      </c>
      <c r="H21" s="43">
        <v>3</v>
      </c>
      <c r="I21" s="43">
        <v>3</v>
      </c>
      <c r="J21" s="43">
        <v>3</v>
      </c>
      <c r="K21" s="43">
        <v>3</v>
      </c>
      <c r="L21" s="43">
        <v>3</v>
      </c>
    </row>
    <row r="22" spans="2:12">
      <c r="B22" s="45" t="s">
        <v>189</v>
      </c>
      <c r="C22" s="44">
        <f t="shared" ref="C22:L22" si="8">(C20*$E$14)+(C21*$D$14)</f>
        <v>30661.285499999998</v>
      </c>
      <c r="D22" s="44">
        <f t="shared" si="8"/>
        <v>30661.285499999998</v>
      </c>
      <c r="E22" s="44">
        <f t="shared" si="8"/>
        <v>34731.492599999998</v>
      </c>
      <c r="F22" s="44">
        <f t="shared" si="8"/>
        <v>38801.699699999997</v>
      </c>
      <c r="G22" s="44">
        <f t="shared" si="8"/>
        <v>46942.113899999997</v>
      </c>
      <c r="H22" s="44">
        <f t="shared" si="8"/>
        <v>51012.320999999996</v>
      </c>
      <c r="I22" s="44">
        <f t="shared" si="8"/>
        <v>51012.320999999996</v>
      </c>
      <c r="J22" s="44">
        <f t="shared" si="8"/>
        <v>51012.320999999996</v>
      </c>
      <c r="K22" s="44">
        <f t="shared" si="8"/>
        <v>51012.320999999996</v>
      </c>
      <c r="L22" s="44">
        <f t="shared" si="8"/>
        <v>51012.320999999996</v>
      </c>
    </row>
    <row r="23" spans="2:12">
      <c r="B23" s="58" t="s">
        <v>190</v>
      </c>
      <c r="C23" s="49">
        <f t="shared" ref="C23:L23" si="9">C22*$C$25</f>
        <v>367935.42599999998</v>
      </c>
      <c r="D23" s="49">
        <f t="shared" si="9"/>
        <v>367935.42599999998</v>
      </c>
      <c r="E23" s="49">
        <f t="shared" si="9"/>
        <v>416777.91119999997</v>
      </c>
      <c r="F23" s="49">
        <f t="shared" si="9"/>
        <v>465620.39639999997</v>
      </c>
      <c r="G23" s="49">
        <f t="shared" si="9"/>
        <v>563305.36679999996</v>
      </c>
      <c r="H23" s="49">
        <f t="shared" si="9"/>
        <v>612147.85199999996</v>
      </c>
      <c r="I23" s="49">
        <f t="shared" si="9"/>
        <v>612147.85199999996</v>
      </c>
      <c r="J23" s="49">
        <f t="shared" si="9"/>
        <v>612147.85199999996</v>
      </c>
      <c r="K23" s="49">
        <f t="shared" si="9"/>
        <v>612147.85199999996</v>
      </c>
      <c r="L23" s="49">
        <f t="shared" si="9"/>
        <v>612147.85199999996</v>
      </c>
    </row>
    <row r="24" spans="2:12"/>
    <row r="25" spans="2:12">
      <c r="B25" s="67" t="s">
        <v>110</v>
      </c>
      <c r="C25" s="68">
        <v>12</v>
      </c>
    </row>
    <row r="26" spans="2:12"/>
    <row r="27" spans="2:12"/>
    <row r="29" spans="2:12"/>
    <row r="30" spans="2:12"/>
    <row r="31" spans="2:12"/>
    <row r="32" spans="2:12"/>
    <row r="33" spans="2:4">
      <c r="B33" s="112"/>
      <c r="C33" s="112"/>
      <c r="D33" s="112"/>
    </row>
    <row r="34" spans="2:4">
      <c r="B34" s="112"/>
      <c r="C34" s="112"/>
      <c r="D34" s="112"/>
    </row>
    <row r="35" spans="2:4">
      <c r="B35" s="86"/>
      <c r="C35" s="113"/>
    </row>
    <row r="36" spans="2:4"/>
    <row r="37" spans="2:4"/>
    <row r="38" spans="2:4"/>
    <row r="39" spans="2:4"/>
    <row r="40" spans="2:4"/>
    <row r="41" spans="2:4"/>
    <row r="42" spans="2:4"/>
    <row r="43" spans="2:4"/>
    <row r="44" spans="2:4"/>
    <row r="45" spans="2:4"/>
    <row r="46" spans="2:4"/>
    <row r="47" spans="2:4"/>
    <row r="48" spans="2:4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</sheetData>
  <mergeCells count="3">
    <mergeCell ref="B2:E3"/>
    <mergeCell ref="B4:C4"/>
    <mergeCell ref="B17:L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B2:V360"/>
  <sheetViews>
    <sheetView workbookViewId="0"/>
  </sheetViews>
  <sheetFormatPr defaultColWidth="14.42578125" defaultRowHeight="15" customHeight="1"/>
  <cols>
    <col min="2" max="2" width="25.140625" customWidth="1"/>
    <col min="3" max="12" width="17.28515625" customWidth="1"/>
  </cols>
  <sheetData>
    <row r="2" spans="2:21">
      <c r="B2" s="114" t="s">
        <v>191</v>
      </c>
      <c r="C2" s="115">
        <f>'In + Am'!F12</f>
        <v>500000</v>
      </c>
      <c r="R2" s="1"/>
      <c r="S2" s="1"/>
      <c r="T2" s="1"/>
      <c r="U2" s="1"/>
    </row>
    <row r="3" spans="2:21">
      <c r="B3" s="114" t="s">
        <v>192</v>
      </c>
      <c r="C3" s="116">
        <v>120</v>
      </c>
      <c r="R3" s="1"/>
      <c r="S3" s="1"/>
      <c r="T3" s="1"/>
      <c r="U3" s="1"/>
    </row>
    <row r="4" spans="2:21">
      <c r="B4" s="114" t="s">
        <v>193</v>
      </c>
      <c r="C4" s="117">
        <v>3.7499999999999999E-2</v>
      </c>
      <c r="R4" s="1"/>
      <c r="S4" s="1"/>
      <c r="T4" s="1"/>
      <c r="U4" s="1"/>
    </row>
    <row r="5" spans="2:21">
      <c r="B5" s="17" t="s">
        <v>194</v>
      </c>
      <c r="C5" s="118">
        <v>12</v>
      </c>
      <c r="R5" s="1"/>
      <c r="S5" s="1"/>
      <c r="T5" s="1"/>
      <c r="U5" s="1"/>
    </row>
    <row r="6" spans="2:21">
      <c r="B6" s="17" t="s">
        <v>195</v>
      </c>
      <c r="C6" s="119">
        <f>C4/C5</f>
        <v>3.1249999999999997E-3</v>
      </c>
      <c r="M6" s="1"/>
      <c r="N6" s="1"/>
      <c r="O6" s="1"/>
      <c r="P6" s="1"/>
      <c r="Q6" s="1"/>
      <c r="R6" s="1"/>
      <c r="S6" s="1"/>
      <c r="T6" s="1"/>
      <c r="U6" s="1"/>
    </row>
    <row r="7" spans="2:21">
      <c r="B7" s="13" t="s">
        <v>196</v>
      </c>
      <c r="C7" s="120">
        <f>PMT(C4/12,C3,C2)*-1</f>
        <v>5003.0621598493835</v>
      </c>
      <c r="D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2:21">
      <c r="J8" s="1"/>
      <c r="K8" s="1"/>
      <c r="L8" s="121"/>
      <c r="M8" s="121"/>
      <c r="N8" s="121"/>
      <c r="O8" s="121"/>
      <c r="P8" s="121"/>
      <c r="Q8" s="121"/>
      <c r="R8" s="121"/>
      <c r="S8" s="121"/>
      <c r="T8" s="121"/>
      <c r="U8" s="121"/>
    </row>
    <row r="9" spans="2:21">
      <c r="J9" s="1"/>
      <c r="K9" s="1"/>
      <c r="L9" s="121"/>
      <c r="M9" s="121"/>
      <c r="N9" s="121"/>
      <c r="O9" s="121"/>
      <c r="P9" s="121"/>
      <c r="Q9" s="121"/>
      <c r="R9" s="121"/>
      <c r="S9" s="121"/>
      <c r="T9" s="121"/>
      <c r="U9" s="121"/>
    </row>
    <row r="10" spans="2:21">
      <c r="B10" s="122" t="s">
        <v>197</v>
      </c>
      <c r="C10" s="123">
        <v>1</v>
      </c>
      <c r="D10" s="123">
        <v>2</v>
      </c>
      <c r="E10" s="123">
        <v>3</v>
      </c>
      <c r="F10" s="123">
        <v>4</v>
      </c>
      <c r="G10" s="123">
        <v>5</v>
      </c>
      <c r="H10" s="123">
        <v>6</v>
      </c>
      <c r="I10" s="123">
        <v>7</v>
      </c>
      <c r="J10" s="123">
        <v>8</v>
      </c>
      <c r="K10" s="123">
        <v>9</v>
      </c>
      <c r="L10" s="123">
        <v>10</v>
      </c>
      <c r="M10" s="123" t="s">
        <v>17</v>
      </c>
      <c r="S10" s="39"/>
      <c r="T10" s="39"/>
      <c r="U10" s="39"/>
    </row>
    <row r="11" spans="2:21">
      <c r="B11" s="124" t="s">
        <v>198</v>
      </c>
      <c r="C11" s="125">
        <f>SUM(D21:D32)</f>
        <v>18032.939987122529</v>
      </c>
      <c r="D11" s="125">
        <f>SUM(D33:D44)</f>
        <v>16430.440498372347</v>
      </c>
      <c r="E11" s="125">
        <f>SUM(D45:D56)</f>
        <v>14766.803582798064</v>
      </c>
      <c r="F11" s="125">
        <f>SUM(D57:D68)</f>
        <v>13039.69676854249</v>
      </c>
      <c r="G11" s="125">
        <f>SUM(D69:D80)</f>
        <v>11246.69859693221</v>
      </c>
      <c r="H11" s="125">
        <f>SUM(D81:D92)</f>
        <v>9385.2952275155603</v>
      </c>
      <c r="I11" s="125">
        <f>SUM(D93:D104)</f>
        <v>7452.8769135783286</v>
      </c>
      <c r="J11" s="126">
        <f>SUM(D105:D116)</f>
        <v>5446.7343431959125</v>
      </c>
      <c r="K11" s="44">
        <f>SUM(D117:D128)</f>
        <v>3364.0548406918365</v>
      </c>
      <c r="L11" s="44">
        <f>SUM(D129:D140)</f>
        <v>1201.9184231770043</v>
      </c>
      <c r="M11" s="49">
        <f t="shared" ref="M11:M13" si="0">SUM(C11:L11)</f>
        <v>100367.45918192627</v>
      </c>
      <c r="S11" s="40"/>
      <c r="T11" s="40"/>
      <c r="U11" s="40"/>
    </row>
    <row r="12" spans="2:21">
      <c r="B12" s="124" t="s">
        <v>199</v>
      </c>
      <c r="C12" s="125">
        <f>SUM(E21:E32)</f>
        <v>42003.805931070063</v>
      </c>
      <c r="D12" s="125">
        <f>SUM(E33:E44)</f>
        <v>43606.305419820252</v>
      </c>
      <c r="E12" s="125">
        <f>SUM(E45:E56)</f>
        <v>45269.942335394531</v>
      </c>
      <c r="F12" s="125">
        <f>SUM(E57:E68)</f>
        <v>46997.049149650105</v>
      </c>
      <c r="G12" s="125">
        <f>SUM(E69:E80)</f>
        <v>48790.04732126039</v>
      </c>
      <c r="H12" s="125">
        <f>SUM(E81:E92)</f>
        <v>50651.45069067704</v>
      </c>
      <c r="I12" s="125">
        <f>SUM(E93:E104)</f>
        <v>52583.869004614273</v>
      </c>
      <c r="J12" s="126">
        <f>SUM(E105:E116)</f>
        <v>54590.011574996679</v>
      </c>
      <c r="K12" s="44">
        <f>SUM(E117:E128)</f>
        <v>56672.691077500764</v>
      </c>
      <c r="L12" s="44">
        <f>SUM(E129:E140)</f>
        <v>58834.82749501559</v>
      </c>
      <c r="M12" s="49">
        <f t="shared" si="0"/>
        <v>499999.99999999965</v>
      </c>
      <c r="N12" s="1"/>
      <c r="O12" s="1"/>
      <c r="P12" s="1"/>
      <c r="Q12" s="1"/>
      <c r="R12" s="1"/>
      <c r="S12" s="1"/>
      <c r="T12" s="1"/>
      <c r="U12" s="1"/>
    </row>
    <row r="13" spans="2:21">
      <c r="B13" s="127" t="s">
        <v>17</v>
      </c>
      <c r="C13" s="128">
        <f t="shared" ref="C13:L13" si="1">SUM(C11:C12)</f>
        <v>60036.745918192595</v>
      </c>
      <c r="D13" s="128">
        <f t="shared" si="1"/>
        <v>60036.745918192595</v>
      </c>
      <c r="E13" s="128">
        <f t="shared" si="1"/>
        <v>60036.745918192595</v>
      </c>
      <c r="F13" s="128">
        <f t="shared" si="1"/>
        <v>60036.745918192595</v>
      </c>
      <c r="G13" s="128">
        <f t="shared" si="1"/>
        <v>60036.745918192602</v>
      </c>
      <c r="H13" s="128">
        <f t="shared" si="1"/>
        <v>60036.745918192602</v>
      </c>
      <c r="I13" s="128">
        <f t="shared" si="1"/>
        <v>60036.745918192602</v>
      </c>
      <c r="J13" s="128">
        <f t="shared" si="1"/>
        <v>60036.745918192595</v>
      </c>
      <c r="K13" s="128">
        <f t="shared" si="1"/>
        <v>60036.745918192602</v>
      </c>
      <c r="L13" s="128">
        <f t="shared" si="1"/>
        <v>60036.745918192595</v>
      </c>
      <c r="M13" s="49">
        <f t="shared" si="0"/>
        <v>600367.45918192598</v>
      </c>
      <c r="N13" s="1"/>
      <c r="O13" s="1"/>
      <c r="P13" s="1"/>
      <c r="Q13" s="1"/>
      <c r="R13" s="1"/>
      <c r="S13" s="1"/>
      <c r="T13" s="1"/>
      <c r="U13" s="1"/>
    </row>
    <row r="14" spans="2:21"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2:21"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2:21">
      <c r="B16" s="269" t="s">
        <v>200</v>
      </c>
      <c r="C16" s="252"/>
      <c r="D16" s="252"/>
      <c r="E16" s="252"/>
      <c r="F16" s="25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2:21">
      <c r="B17" s="270"/>
      <c r="C17" s="224"/>
      <c r="D17" s="224"/>
      <c r="E17" s="224"/>
      <c r="F17" s="27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>
      <c r="B18" s="254"/>
      <c r="C18" s="228"/>
      <c r="D18" s="228"/>
      <c r="E18" s="228"/>
      <c r="F18" s="25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>
      <c r="B19" s="129" t="s">
        <v>201</v>
      </c>
      <c r="C19" s="130" t="s">
        <v>202</v>
      </c>
      <c r="D19" s="130" t="s">
        <v>198</v>
      </c>
      <c r="E19" s="130" t="s">
        <v>203</v>
      </c>
      <c r="F19" s="130" t="s">
        <v>204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2:21">
      <c r="B20" s="131"/>
      <c r="C20" s="132"/>
      <c r="D20" s="132"/>
      <c r="E20" s="132"/>
      <c r="F20" s="133">
        <f>C2</f>
        <v>500000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>
      <c r="B21" s="134">
        <v>1</v>
      </c>
      <c r="C21" s="135">
        <f t="shared" ref="C21:C140" si="2">$C$7</f>
        <v>5003.0621598493835</v>
      </c>
      <c r="D21" s="135">
        <f t="shared" ref="D21:D140" si="3">F20*$C$6</f>
        <v>1562.4999999999998</v>
      </c>
      <c r="E21" s="135">
        <f t="shared" ref="E21:E140" si="4">C21-D21</f>
        <v>3440.5621598493835</v>
      </c>
      <c r="F21" s="133">
        <f t="shared" ref="F21:F140" si="5">F20-E21</f>
        <v>496559.43784015061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>
      <c r="B22" s="134">
        <v>2</v>
      </c>
      <c r="C22" s="135">
        <f t="shared" si="2"/>
        <v>5003.0621598493835</v>
      </c>
      <c r="D22" s="135">
        <f t="shared" si="3"/>
        <v>1551.7482432504705</v>
      </c>
      <c r="E22" s="135">
        <f t="shared" si="4"/>
        <v>3451.3139165989132</v>
      </c>
      <c r="F22" s="133">
        <f t="shared" si="5"/>
        <v>493108.1239235517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>
      <c r="B23" s="134">
        <v>3</v>
      </c>
      <c r="C23" s="135">
        <f t="shared" si="2"/>
        <v>5003.0621598493835</v>
      </c>
      <c r="D23" s="135">
        <f t="shared" si="3"/>
        <v>1540.962887261099</v>
      </c>
      <c r="E23" s="135">
        <f t="shared" si="4"/>
        <v>3462.0992725882843</v>
      </c>
      <c r="F23" s="133">
        <f t="shared" si="5"/>
        <v>489646.02465096343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>
      <c r="B24" s="134">
        <v>4</v>
      </c>
      <c r="C24" s="135">
        <f t="shared" si="2"/>
        <v>5003.0621598493835</v>
      </c>
      <c r="D24" s="135">
        <f t="shared" si="3"/>
        <v>1530.1438270342605</v>
      </c>
      <c r="E24" s="135">
        <f t="shared" si="4"/>
        <v>3472.918332815123</v>
      </c>
      <c r="F24" s="133">
        <f t="shared" si="5"/>
        <v>486173.10631814832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>
      <c r="B25" s="134">
        <v>5</v>
      </c>
      <c r="C25" s="135">
        <f t="shared" si="2"/>
        <v>5003.0621598493835</v>
      </c>
      <c r="D25" s="135">
        <f t="shared" si="3"/>
        <v>1519.2909572442134</v>
      </c>
      <c r="E25" s="135">
        <f t="shared" si="4"/>
        <v>3483.7712026051704</v>
      </c>
      <c r="F25" s="133">
        <f t="shared" si="5"/>
        <v>482689.33511554316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>
      <c r="B26" s="134">
        <v>6</v>
      </c>
      <c r="C26" s="135">
        <f t="shared" si="2"/>
        <v>5003.0621598493835</v>
      </c>
      <c r="D26" s="135">
        <f t="shared" si="3"/>
        <v>1508.4041722360723</v>
      </c>
      <c r="E26" s="135">
        <f t="shared" si="4"/>
        <v>3494.657987613311</v>
      </c>
      <c r="F26" s="133">
        <f t="shared" si="5"/>
        <v>479194.67712792987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>
      <c r="B27" s="134">
        <v>7</v>
      </c>
      <c r="C27" s="135">
        <f t="shared" si="2"/>
        <v>5003.0621598493835</v>
      </c>
      <c r="D27" s="135">
        <f t="shared" si="3"/>
        <v>1497.4833660247807</v>
      </c>
      <c r="E27" s="135">
        <f t="shared" si="4"/>
        <v>3505.5787938246031</v>
      </c>
      <c r="F27" s="133">
        <f t="shared" si="5"/>
        <v>475689.09833410528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2:21">
      <c r="B28" s="134">
        <v>8</v>
      </c>
      <c r="C28" s="135">
        <f t="shared" si="2"/>
        <v>5003.0621598493835</v>
      </c>
      <c r="D28" s="135">
        <f t="shared" si="3"/>
        <v>1486.5284322940788</v>
      </c>
      <c r="E28" s="135">
        <f t="shared" si="4"/>
        <v>3516.5337275553047</v>
      </c>
      <c r="F28" s="133">
        <f t="shared" si="5"/>
        <v>472172.56460654997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2:21">
      <c r="B29" s="134">
        <v>9</v>
      </c>
      <c r="C29" s="135">
        <f t="shared" si="2"/>
        <v>5003.0621598493835</v>
      </c>
      <c r="D29" s="135">
        <f t="shared" si="3"/>
        <v>1475.5392643954685</v>
      </c>
      <c r="E29" s="135">
        <f t="shared" si="4"/>
        <v>3527.5228954539152</v>
      </c>
      <c r="F29" s="133">
        <f t="shared" si="5"/>
        <v>468645.04171109607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>
      <c r="B30" s="134">
        <v>10</v>
      </c>
      <c r="C30" s="135">
        <f t="shared" si="2"/>
        <v>5003.0621598493835</v>
      </c>
      <c r="D30" s="135">
        <f t="shared" si="3"/>
        <v>1464.5157553471752</v>
      </c>
      <c r="E30" s="135">
        <f t="shared" si="4"/>
        <v>3538.5464045022081</v>
      </c>
      <c r="F30" s="133">
        <f t="shared" si="5"/>
        <v>465106.49530659389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2:21">
      <c r="B31" s="134">
        <v>11</v>
      </c>
      <c r="C31" s="135">
        <f t="shared" si="2"/>
        <v>5003.0621598493835</v>
      </c>
      <c r="D31" s="135">
        <f t="shared" si="3"/>
        <v>1453.4577978331058</v>
      </c>
      <c r="E31" s="135">
        <f t="shared" si="4"/>
        <v>3549.6043620162777</v>
      </c>
      <c r="F31" s="133">
        <f t="shared" si="5"/>
        <v>461556.89094457764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2:21">
      <c r="B32" s="134">
        <v>12</v>
      </c>
      <c r="C32" s="135">
        <f t="shared" si="2"/>
        <v>5003.0621598493835</v>
      </c>
      <c r="D32" s="135">
        <f t="shared" si="3"/>
        <v>1442.365284201805</v>
      </c>
      <c r="E32" s="135">
        <f t="shared" si="4"/>
        <v>3560.6968756475785</v>
      </c>
      <c r="F32" s="133">
        <f t="shared" si="5"/>
        <v>457996.19406893005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>
      <c r="B33" s="136">
        <v>13</v>
      </c>
      <c r="C33" s="135">
        <f t="shared" si="2"/>
        <v>5003.0621598493835</v>
      </c>
      <c r="D33" s="135">
        <f t="shared" si="3"/>
        <v>1431.2381064654062</v>
      </c>
      <c r="E33" s="135">
        <f t="shared" si="4"/>
        <v>3571.8240533839771</v>
      </c>
      <c r="F33" s="133">
        <f t="shared" si="5"/>
        <v>454424.3700155461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>
      <c r="B34" s="136">
        <v>14</v>
      </c>
      <c r="C34" s="135">
        <f t="shared" si="2"/>
        <v>5003.0621598493835</v>
      </c>
      <c r="D34" s="135">
        <f t="shared" si="3"/>
        <v>1420.0761562985815</v>
      </c>
      <c r="E34" s="135">
        <f t="shared" si="4"/>
        <v>3582.9860035508018</v>
      </c>
      <c r="F34" s="133">
        <f t="shared" si="5"/>
        <v>450841.38401199528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>
      <c r="B35" s="136">
        <v>15</v>
      </c>
      <c r="C35" s="135">
        <f t="shared" si="2"/>
        <v>5003.0621598493835</v>
      </c>
      <c r="D35" s="135">
        <f t="shared" si="3"/>
        <v>1408.8793250374852</v>
      </c>
      <c r="E35" s="135">
        <f t="shared" si="4"/>
        <v>3594.1828348118984</v>
      </c>
      <c r="F35" s="133">
        <f t="shared" si="5"/>
        <v>447247.20117718336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>
      <c r="B36" s="136">
        <v>16</v>
      </c>
      <c r="C36" s="135">
        <f t="shared" si="2"/>
        <v>5003.0621598493835</v>
      </c>
      <c r="D36" s="135">
        <f t="shared" si="3"/>
        <v>1397.6475036786978</v>
      </c>
      <c r="E36" s="135">
        <f t="shared" si="4"/>
        <v>3605.4146561706857</v>
      </c>
      <c r="F36" s="133">
        <f t="shared" si="5"/>
        <v>443641.78652101266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>
      <c r="B37" s="136">
        <v>17</v>
      </c>
      <c r="C37" s="135">
        <f t="shared" si="2"/>
        <v>5003.0621598493835</v>
      </c>
      <c r="D37" s="135">
        <f t="shared" si="3"/>
        <v>1386.3805828781644</v>
      </c>
      <c r="E37" s="135">
        <f t="shared" si="4"/>
        <v>3616.6815769712193</v>
      </c>
      <c r="F37" s="133">
        <f t="shared" si="5"/>
        <v>440025.10494404146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>
      <c r="B38" s="136">
        <v>18</v>
      </c>
      <c r="C38" s="135">
        <f t="shared" si="2"/>
        <v>5003.0621598493835</v>
      </c>
      <c r="D38" s="135">
        <f t="shared" si="3"/>
        <v>1375.0784529501295</v>
      </c>
      <c r="E38" s="135">
        <f t="shared" si="4"/>
        <v>3627.9837068992538</v>
      </c>
      <c r="F38" s="133">
        <f t="shared" si="5"/>
        <v>436397.12123714219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>
      <c r="B39" s="136">
        <v>19</v>
      </c>
      <c r="C39" s="135">
        <f t="shared" si="2"/>
        <v>5003.0621598493835</v>
      </c>
      <c r="D39" s="135">
        <f t="shared" si="3"/>
        <v>1363.7410038660691</v>
      </c>
      <c r="E39" s="135">
        <f t="shared" si="4"/>
        <v>3639.3211559833144</v>
      </c>
      <c r="F39" s="133">
        <f t="shared" si="5"/>
        <v>432757.80008115887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2:21">
      <c r="B40" s="136">
        <v>20</v>
      </c>
      <c r="C40" s="135">
        <f t="shared" si="2"/>
        <v>5003.0621598493835</v>
      </c>
      <c r="D40" s="135">
        <f t="shared" si="3"/>
        <v>1352.3681252536214</v>
      </c>
      <c r="E40" s="135">
        <f t="shared" si="4"/>
        <v>3650.6940345957619</v>
      </c>
      <c r="F40" s="133">
        <f t="shared" si="5"/>
        <v>429107.10604656313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1">
      <c r="B41" s="136">
        <v>21</v>
      </c>
      <c r="C41" s="135">
        <f t="shared" si="2"/>
        <v>5003.0621598493835</v>
      </c>
      <c r="D41" s="135">
        <f t="shared" si="3"/>
        <v>1340.9597063955098</v>
      </c>
      <c r="E41" s="135">
        <f t="shared" si="4"/>
        <v>3662.1024534538737</v>
      </c>
      <c r="F41" s="133">
        <f t="shared" si="5"/>
        <v>425445.00359310926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>
      <c r="B42" s="136">
        <v>22</v>
      </c>
      <c r="C42" s="135">
        <f t="shared" si="2"/>
        <v>5003.0621598493835</v>
      </c>
      <c r="D42" s="135">
        <f t="shared" si="3"/>
        <v>1329.5156362284663</v>
      </c>
      <c r="E42" s="135">
        <f t="shared" si="4"/>
        <v>3673.5465236209175</v>
      </c>
      <c r="F42" s="133">
        <f t="shared" si="5"/>
        <v>421771.45706948836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1">
      <c r="B43" s="136">
        <v>23</v>
      </c>
      <c r="C43" s="135">
        <f t="shared" si="2"/>
        <v>5003.0621598493835</v>
      </c>
      <c r="D43" s="135">
        <f t="shared" si="3"/>
        <v>1318.035803342151</v>
      </c>
      <c r="E43" s="135">
        <f t="shared" si="4"/>
        <v>3685.0263565072328</v>
      </c>
      <c r="F43" s="133">
        <f t="shared" si="5"/>
        <v>418086.43071298115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2:21">
      <c r="B44" s="136">
        <v>24</v>
      </c>
      <c r="C44" s="135">
        <f t="shared" si="2"/>
        <v>5003.0621598493835</v>
      </c>
      <c r="D44" s="135">
        <f t="shared" si="3"/>
        <v>1306.5200959780659</v>
      </c>
      <c r="E44" s="135">
        <f t="shared" si="4"/>
        <v>3696.5420638713176</v>
      </c>
      <c r="F44" s="133">
        <f t="shared" si="5"/>
        <v>414389.88864910981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>
      <c r="B45" s="137">
        <v>25</v>
      </c>
      <c r="C45" s="135">
        <f t="shared" si="2"/>
        <v>5003.0621598493835</v>
      </c>
      <c r="D45" s="135">
        <f t="shared" si="3"/>
        <v>1294.9684020284681</v>
      </c>
      <c r="E45" s="135">
        <f t="shared" si="4"/>
        <v>3708.0937578209155</v>
      </c>
      <c r="F45" s="133">
        <f t="shared" si="5"/>
        <v>410681.79489128891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>
      <c r="B46" s="137">
        <v>26</v>
      </c>
      <c r="C46" s="135">
        <f t="shared" si="2"/>
        <v>5003.0621598493835</v>
      </c>
      <c r="D46" s="135">
        <f t="shared" si="3"/>
        <v>1283.3806090352778</v>
      </c>
      <c r="E46" s="135">
        <f t="shared" si="4"/>
        <v>3719.6815508141058</v>
      </c>
      <c r="F46" s="133">
        <f t="shared" si="5"/>
        <v>406962.11334047478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>
      <c r="B47" s="137">
        <v>27</v>
      </c>
      <c r="C47" s="135">
        <f t="shared" si="2"/>
        <v>5003.0621598493835</v>
      </c>
      <c r="D47" s="135">
        <f t="shared" si="3"/>
        <v>1271.7566041889836</v>
      </c>
      <c r="E47" s="135">
        <f t="shared" si="4"/>
        <v>3731.3055556603999</v>
      </c>
      <c r="F47" s="133">
        <f t="shared" si="5"/>
        <v>403230.80778481439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>
      <c r="B48" s="137">
        <v>28</v>
      </c>
      <c r="C48" s="135">
        <f t="shared" si="2"/>
        <v>5003.0621598493835</v>
      </c>
      <c r="D48" s="135">
        <f t="shared" si="3"/>
        <v>1260.096274327545</v>
      </c>
      <c r="E48" s="135">
        <f t="shared" si="4"/>
        <v>3742.9658855218386</v>
      </c>
      <c r="F48" s="133">
        <f t="shared" si="5"/>
        <v>399487.84189929254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>
      <c r="B49" s="137">
        <v>29</v>
      </c>
      <c r="C49" s="135">
        <f t="shared" si="2"/>
        <v>5003.0621598493835</v>
      </c>
      <c r="D49" s="135">
        <f t="shared" si="3"/>
        <v>1248.3995059352892</v>
      </c>
      <c r="E49" s="135">
        <f t="shared" si="4"/>
        <v>3754.6626539140943</v>
      </c>
      <c r="F49" s="133">
        <f t="shared" si="5"/>
        <v>395733.17924537847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>
      <c r="B50" s="137">
        <v>30</v>
      </c>
      <c r="C50" s="135">
        <f t="shared" si="2"/>
        <v>5003.0621598493835</v>
      </c>
      <c r="D50" s="135">
        <f t="shared" si="3"/>
        <v>1236.6661851418075</v>
      </c>
      <c r="E50" s="135">
        <f t="shared" si="4"/>
        <v>3766.395974707576</v>
      </c>
      <c r="F50" s="133">
        <f t="shared" si="5"/>
        <v>391966.78327067092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>
      <c r="B51" s="137">
        <v>31</v>
      </c>
      <c r="C51" s="135">
        <f t="shared" si="2"/>
        <v>5003.0621598493835</v>
      </c>
      <c r="D51" s="135">
        <f t="shared" si="3"/>
        <v>1224.8961977208464</v>
      </c>
      <c r="E51" s="135">
        <f t="shared" si="4"/>
        <v>3778.1659621285371</v>
      </c>
      <c r="F51" s="133">
        <f t="shared" si="5"/>
        <v>388188.61730854237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>
      <c r="B52" s="137">
        <v>32</v>
      </c>
      <c r="C52" s="135">
        <f t="shared" si="2"/>
        <v>5003.0621598493835</v>
      </c>
      <c r="D52" s="135">
        <f t="shared" si="3"/>
        <v>1213.0894290891947</v>
      </c>
      <c r="E52" s="135">
        <f t="shared" si="4"/>
        <v>3789.9727307601888</v>
      </c>
      <c r="F52" s="133">
        <f t="shared" si="5"/>
        <v>384398.64457778219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>
      <c r="B53" s="137">
        <v>33</v>
      </c>
      <c r="C53" s="135">
        <f t="shared" si="2"/>
        <v>5003.0621598493835</v>
      </c>
      <c r="D53" s="135">
        <f t="shared" si="3"/>
        <v>1201.2457643055693</v>
      </c>
      <c r="E53" s="135">
        <f t="shared" si="4"/>
        <v>3801.816395543814</v>
      </c>
      <c r="F53" s="133">
        <f t="shared" si="5"/>
        <v>380596.82818223839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>
      <c r="B54" s="137">
        <v>34</v>
      </c>
      <c r="C54" s="135">
        <f t="shared" si="2"/>
        <v>5003.0621598493835</v>
      </c>
      <c r="D54" s="135">
        <f t="shared" si="3"/>
        <v>1189.365088069495</v>
      </c>
      <c r="E54" s="135">
        <f t="shared" si="4"/>
        <v>3813.6970717798886</v>
      </c>
      <c r="F54" s="133">
        <f t="shared" si="5"/>
        <v>376783.13111045852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>
      <c r="B55" s="137">
        <v>35</v>
      </c>
      <c r="C55" s="135">
        <f t="shared" si="2"/>
        <v>5003.0621598493835</v>
      </c>
      <c r="D55" s="135">
        <f t="shared" si="3"/>
        <v>1177.4472847201828</v>
      </c>
      <c r="E55" s="135">
        <f t="shared" si="4"/>
        <v>3825.6148751292008</v>
      </c>
      <c r="F55" s="133">
        <f t="shared" si="5"/>
        <v>372957.51623532933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>
      <c r="B56" s="137">
        <v>36</v>
      </c>
      <c r="C56" s="135">
        <f t="shared" si="2"/>
        <v>5003.0621598493835</v>
      </c>
      <c r="D56" s="135">
        <f t="shared" si="3"/>
        <v>1165.4922382354041</v>
      </c>
      <c r="E56" s="135">
        <f t="shared" si="4"/>
        <v>3837.5699216139792</v>
      </c>
      <c r="F56" s="133">
        <f t="shared" si="5"/>
        <v>369119.94631371537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>
      <c r="B57" s="138">
        <v>37</v>
      </c>
      <c r="C57" s="135">
        <f t="shared" si="2"/>
        <v>5003.0621598493835</v>
      </c>
      <c r="D57" s="135">
        <f t="shared" si="3"/>
        <v>1153.4998322303604</v>
      </c>
      <c r="E57" s="135">
        <f t="shared" si="4"/>
        <v>3849.5623276190231</v>
      </c>
      <c r="F57" s="133">
        <f t="shared" si="5"/>
        <v>365270.38398609636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>
      <c r="B58" s="138">
        <v>38</v>
      </c>
      <c r="C58" s="135">
        <f t="shared" si="2"/>
        <v>5003.0621598493835</v>
      </c>
      <c r="D58" s="135">
        <f t="shared" si="3"/>
        <v>1141.4699499565511</v>
      </c>
      <c r="E58" s="135">
        <f t="shared" si="4"/>
        <v>3861.5922098928322</v>
      </c>
      <c r="F58" s="133">
        <f t="shared" si="5"/>
        <v>361408.79177620355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>
      <c r="B59" s="138">
        <v>39</v>
      </c>
      <c r="C59" s="135">
        <f t="shared" si="2"/>
        <v>5003.0621598493835</v>
      </c>
      <c r="D59" s="135">
        <f t="shared" si="3"/>
        <v>1129.402474300636</v>
      </c>
      <c r="E59" s="135">
        <f t="shared" si="4"/>
        <v>3873.6596855487478</v>
      </c>
      <c r="F59" s="133">
        <f t="shared" si="5"/>
        <v>357535.13209065481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>
      <c r="B60" s="138">
        <v>40</v>
      </c>
      <c r="C60" s="135">
        <f t="shared" si="2"/>
        <v>5003.0621598493835</v>
      </c>
      <c r="D60" s="135">
        <f t="shared" si="3"/>
        <v>1117.2972877832963</v>
      </c>
      <c r="E60" s="135">
        <f t="shared" si="4"/>
        <v>3885.7648720660873</v>
      </c>
      <c r="F60" s="133">
        <f t="shared" si="5"/>
        <v>353649.36721858871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>
      <c r="B61" s="138">
        <v>41</v>
      </c>
      <c r="C61" s="135">
        <f t="shared" si="2"/>
        <v>5003.0621598493835</v>
      </c>
      <c r="D61" s="135">
        <f t="shared" si="3"/>
        <v>1105.1542725580896</v>
      </c>
      <c r="E61" s="135">
        <f t="shared" si="4"/>
        <v>3897.9078872912942</v>
      </c>
      <c r="F61" s="133">
        <f t="shared" si="5"/>
        <v>349751.45933129743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>
      <c r="B62" s="138">
        <v>42</v>
      </c>
      <c r="C62" s="135">
        <f t="shared" si="2"/>
        <v>5003.0621598493835</v>
      </c>
      <c r="D62" s="135">
        <f t="shared" si="3"/>
        <v>1092.9733104103043</v>
      </c>
      <c r="E62" s="135">
        <f t="shared" si="4"/>
        <v>3910.0888494390792</v>
      </c>
      <c r="F62" s="133">
        <f t="shared" si="5"/>
        <v>345841.37048185838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>
      <c r="B63" s="138">
        <v>43</v>
      </c>
      <c r="C63" s="135">
        <f t="shared" si="2"/>
        <v>5003.0621598493835</v>
      </c>
      <c r="D63" s="135">
        <f t="shared" si="3"/>
        <v>1080.7542827558073</v>
      </c>
      <c r="E63" s="135">
        <f t="shared" si="4"/>
        <v>3922.3078770935763</v>
      </c>
      <c r="F63" s="133">
        <f t="shared" si="5"/>
        <v>341919.06260476483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>
      <c r="B64" s="138">
        <v>44</v>
      </c>
      <c r="C64" s="135">
        <f t="shared" si="2"/>
        <v>5003.0621598493835</v>
      </c>
      <c r="D64" s="135">
        <f t="shared" si="3"/>
        <v>1068.4970706398899</v>
      </c>
      <c r="E64" s="135">
        <f t="shared" si="4"/>
        <v>3934.5650892094936</v>
      </c>
      <c r="F64" s="133">
        <f t="shared" si="5"/>
        <v>337984.49751555535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2:21">
      <c r="B65" s="138">
        <v>45</v>
      </c>
      <c r="C65" s="135">
        <f t="shared" si="2"/>
        <v>5003.0621598493835</v>
      </c>
      <c r="D65" s="135">
        <f t="shared" si="3"/>
        <v>1056.2015547361104</v>
      </c>
      <c r="E65" s="135">
        <f t="shared" si="4"/>
        <v>3946.8606051132729</v>
      </c>
      <c r="F65" s="133">
        <f t="shared" si="5"/>
        <v>334037.63691044209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2:21">
      <c r="B66" s="138">
        <v>46</v>
      </c>
      <c r="C66" s="135">
        <f t="shared" si="2"/>
        <v>5003.0621598493835</v>
      </c>
      <c r="D66" s="135">
        <f t="shared" si="3"/>
        <v>1043.8676153451315</v>
      </c>
      <c r="E66" s="135">
        <f t="shared" si="4"/>
        <v>3959.194544504252</v>
      </c>
      <c r="F66" s="133">
        <f t="shared" si="5"/>
        <v>330078.44236593781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2:21">
      <c r="B67" s="138">
        <v>47</v>
      </c>
      <c r="C67" s="135">
        <f t="shared" si="2"/>
        <v>5003.0621598493835</v>
      </c>
      <c r="D67" s="135">
        <f t="shared" si="3"/>
        <v>1031.4951323935557</v>
      </c>
      <c r="E67" s="135">
        <f t="shared" si="4"/>
        <v>3971.5670274558279</v>
      </c>
      <c r="F67" s="133">
        <f t="shared" si="5"/>
        <v>326106.87533848197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2:21">
      <c r="B68" s="138">
        <v>48</v>
      </c>
      <c r="C68" s="135">
        <f t="shared" si="2"/>
        <v>5003.0621598493835</v>
      </c>
      <c r="D68" s="135">
        <f t="shared" si="3"/>
        <v>1019.0839854327561</v>
      </c>
      <c r="E68" s="135">
        <f t="shared" si="4"/>
        <v>3983.9781744166276</v>
      </c>
      <c r="F68" s="133">
        <f t="shared" si="5"/>
        <v>322122.89716406533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2:21">
      <c r="B69" s="139">
        <v>49</v>
      </c>
      <c r="C69" s="135">
        <f t="shared" si="2"/>
        <v>5003.0621598493835</v>
      </c>
      <c r="D69" s="135">
        <f t="shared" si="3"/>
        <v>1006.634053637704</v>
      </c>
      <c r="E69" s="135">
        <f t="shared" si="4"/>
        <v>3996.4281062116797</v>
      </c>
      <c r="F69" s="133">
        <f t="shared" si="5"/>
        <v>318126.46905785362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2:21">
      <c r="B70" s="139">
        <v>50</v>
      </c>
      <c r="C70" s="135">
        <f t="shared" si="2"/>
        <v>5003.0621598493835</v>
      </c>
      <c r="D70" s="135">
        <f t="shared" si="3"/>
        <v>994.14521580579253</v>
      </c>
      <c r="E70" s="135">
        <f t="shared" si="4"/>
        <v>4008.9169440435908</v>
      </c>
      <c r="F70" s="133">
        <f t="shared" si="5"/>
        <v>314117.55211381003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2:21">
      <c r="B71" s="139">
        <v>51</v>
      </c>
      <c r="C71" s="135">
        <f t="shared" si="2"/>
        <v>5003.0621598493835</v>
      </c>
      <c r="D71" s="135">
        <f t="shared" si="3"/>
        <v>981.6173503556563</v>
      </c>
      <c r="E71" s="135">
        <f t="shared" si="4"/>
        <v>4021.444809493727</v>
      </c>
      <c r="F71" s="133">
        <f t="shared" si="5"/>
        <v>310096.10730431631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2:21">
      <c r="B72" s="139">
        <v>52</v>
      </c>
      <c r="C72" s="135">
        <f t="shared" si="2"/>
        <v>5003.0621598493835</v>
      </c>
      <c r="D72" s="135">
        <f t="shared" si="3"/>
        <v>969.05033532598839</v>
      </c>
      <c r="E72" s="135">
        <f t="shared" si="4"/>
        <v>4034.0118245233953</v>
      </c>
      <c r="F72" s="133">
        <f t="shared" si="5"/>
        <v>306062.09547979292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2:21">
      <c r="B73" s="139">
        <v>53</v>
      </c>
      <c r="C73" s="135">
        <f t="shared" si="2"/>
        <v>5003.0621598493835</v>
      </c>
      <c r="D73" s="135">
        <f t="shared" si="3"/>
        <v>956.44404837435275</v>
      </c>
      <c r="E73" s="135">
        <f t="shared" si="4"/>
        <v>4046.6181114750307</v>
      </c>
      <c r="F73" s="133">
        <f t="shared" si="5"/>
        <v>302015.47736831789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2:21">
      <c r="B74" s="139">
        <v>54</v>
      </c>
      <c r="C74" s="135">
        <f t="shared" si="2"/>
        <v>5003.0621598493835</v>
      </c>
      <c r="D74" s="135">
        <f t="shared" si="3"/>
        <v>943.79836677599337</v>
      </c>
      <c r="E74" s="135">
        <f t="shared" si="4"/>
        <v>4059.2637930733899</v>
      </c>
      <c r="F74" s="133">
        <f t="shared" si="5"/>
        <v>297956.21357524453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2:21">
      <c r="B75" s="139">
        <v>55</v>
      </c>
      <c r="C75" s="135">
        <f t="shared" si="2"/>
        <v>5003.0621598493835</v>
      </c>
      <c r="D75" s="135">
        <f t="shared" si="3"/>
        <v>931.11316742263909</v>
      </c>
      <c r="E75" s="135">
        <f t="shared" si="4"/>
        <v>4071.9489924267446</v>
      </c>
      <c r="F75" s="133">
        <f t="shared" si="5"/>
        <v>293884.26458281779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2:21">
      <c r="B76" s="139">
        <v>56</v>
      </c>
      <c r="C76" s="135">
        <f t="shared" si="2"/>
        <v>5003.0621598493835</v>
      </c>
      <c r="D76" s="135">
        <f t="shared" si="3"/>
        <v>918.38832682130555</v>
      </c>
      <c r="E76" s="135">
        <f t="shared" si="4"/>
        <v>4084.6738330280778</v>
      </c>
      <c r="F76" s="133">
        <f t="shared" si="5"/>
        <v>289799.59074978973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2:21">
      <c r="B77" s="139">
        <v>57</v>
      </c>
      <c r="C77" s="135">
        <f t="shared" si="2"/>
        <v>5003.0621598493835</v>
      </c>
      <c r="D77" s="135">
        <f t="shared" si="3"/>
        <v>905.62372109309285</v>
      </c>
      <c r="E77" s="135">
        <f t="shared" si="4"/>
        <v>4097.4384387562905</v>
      </c>
      <c r="F77" s="133">
        <f t="shared" si="5"/>
        <v>285702.15231103345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2:21">
      <c r="B78" s="139">
        <v>58</v>
      </c>
      <c r="C78" s="135">
        <f t="shared" si="2"/>
        <v>5003.0621598493835</v>
      </c>
      <c r="D78" s="135">
        <f t="shared" si="3"/>
        <v>892.81922597197945</v>
      </c>
      <c r="E78" s="135">
        <f t="shared" si="4"/>
        <v>4110.2429338774036</v>
      </c>
      <c r="F78" s="133">
        <f t="shared" si="5"/>
        <v>281591.90937715606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2:21">
      <c r="B79" s="139">
        <v>59</v>
      </c>
      <c r="C79" s="135">
        <f t="shared" si="2"/>
        <v>5003.0621598493835</v>
      </c>
      <c r="D79" s="135">
        <f t="shared" si="3"/>
        <v>879.97471680361264</v>
      </c>
      <c r="E79" s="135">
        <f t="shared" si="4"/>
        <v>4123.0874430457707</v>
      </c>
      <c r="F79" s="133">
        <f t="shared" si="5"/>
        <v>277468.82193411031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2:21">
      <c r="B80" s="139">
        <v>60</v>
      </c>
      <c r="C80" s="135">
        <f t="shared" si="2"/>
        <v>5003.0621598493835</v>
      </c>
      <c r="D80" s="135">
        <f t="shared" si="3"/>
        <v>867.09006854409461</v>
      </c>
      <c r="E80" s="135">
        <f t="shared" si="4"/>
        <v>4135.9720913052888</v>
      </c>
      <c r="F80" s="133">
        <f t="shared" si="5"/>
        <v>273332.84984280501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2:21">
      <c r="B81" s="140">
        <v>61</v>
      </c>
      <c r="C81" s="135">
        <f t="shared" si="2"/>
        <v>5003.0621598493835</v>
      </c>
      <c r="D81" s="135">
        <f t="shared" si="3"/>
        <v>854.16515575876554</v>
      </c>
      <c r="E81" s="135">
        <f t="shared" si="4"/>
        <v>4148.8970040906179</v>
      </c>
      <c r="F81" s="133">
        <f t="shared" si="5"/>
        <v>269183.95283871441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2:21">
      <c r="B82" s="140">
        <v>62</v>
      </c>
      <c r="C82" s="135">
        <f t="shared" si="2"/>
        <v>5003.0621598493835</v>
      </c>
      <c r="D82" s="135">
        <f t="shared" si="3"/>
        <v>841.19985262098248</v>
      </c>
      <c r="E82" s="135">
        <f t="shared" si="4"/>
        <v>4161.8623072284008</v>
      </c>
      <c r="F82" s="133">
        <f t="shared" si="5"/>
        <v>265022.09053148603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2:21">
      <c r="B83" s="140">
        <v>63</v>
      </c>
      <c r="C83" s="135">
        <f t="shared" si="2"/>
        <v>5003.0621598493835</v>
      </c>
      <c r="D83" s="135">
        <f t="shared" si="3"/>
        <v>828.19403291089372</v>
      </c>
      <c r="E83" s="135">
        <f t="shared" si="4"/>
        <v>4174.8681269384897</v>
      </c>
      <c r="F83" s="133">
        <f t="shared" si="5"/>
        <v>260847.22240454753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2:21">
      <c r="B84" s="140">
        <v>64</v>
      </c>
      <c r="C84" s="135">
        <f t="shared" si="2"/>
        <v>5003.0621598493835</v>
      </c>
      <c r="D84" s="135">
        <f t="shared" si="3"/>
        <v>815.14757001421094</v>
      </c>
      <c r="E84" s="135">
        <f t="shared" si="4"/>
        <v>4187.9145898351726</v>
      </c>
      <c r="F84" s="133">
        <f t="shared" si="5"/>
        <v>256659.30781471235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2:21">
      <c r="B85" s="140">
        <v>65</v>
      </c>
      <c r="C85" s="135">
        <f t="shared" si="2"/>
        <v>5003.0621598493835</v>
      </c>
      <c r="D85" s="135">
        <f t="shared" si="3"/>
        <v>802.06033692097606</v>
      </c>
      <c r="E85" s="135">
        <f t="shared" si="4"/>
        <v>4201.0018229284078</v>
      </c>
      <c r="F85" s="133">
        <f t="shared" si="5"/>
        <v>252458.30599178394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2:21">
      <c r="B86" s="140">
        <v>66</v>
      </c>
      <c r="C86" s="135">
        <f t="shared" si="2"/>
        <v>5003.0621598493835</v>
      </c>
      <c r="D86" s="135">
        <f t="shared" si="3"/>
        <v>788.93220622432477</v>
      </c>
      <c r="E86" s="135">
        <f t="shared" si="4"/>
        <v>4214.129953625059</v>
      </c>
      <c r="F86" s="133">
        <f t="shared" si="5"/>
        <v>248244.17603815888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2:21">
      <c r="B87" s="140">
        <v>67</v>
      </c>
      <c r="C87" s="135">
        <f t="shared" si="2"/>
        <v>5003.0621598493835</v>
      </c>
      <c r="D87" s="135">
        <f t="shared" si="3"/>
        <v>775.76305011924649</v>
      </c>
      <c r="E87" s="135">
        <f t="shared" si="4"/>
        <v>4227.2991097301374</v>
      </c>
      <c r="F87" s="133">
        <f t="shared" si="5"/>
        <v>244016.87692842874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2:21">
      <c r="B88" s="140">
        <v>68</v>
      </c>
      <c r="C88" s="135">
        <f t="shared" si="2"/>
        <v>5003.0621598493835</v>
      </c>
      <c r="D88" s="135">
        <f t="shared" si="3"/>
        <v>762.55274040133975</v>
      </c>
      <c r="E88" s="135">
        <f t="shared" si="4"/>
        <v>4240.5094194480434</v>
      </c>
      <c r="F88" s="133">
        <f t="shared" si="5"/>
        <v>239776.36750898071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2:21">
      <c r="B89" s="140">
        <v>69</v>
      </c>
      <c r="C89" s="135">
        <f t="shared" si="2"/>
        <v>5003.0621598493835</v>
      </c>
      <c r="D89" s="135">
        <f t="shared" si="3"/>
        <v>749.30114846556467</v>
      </c>
      <c r="E89" s="135">
        <f t="shared" si="4"/>
        <v>4253.7610113838191</v>
      </c>
      <c r="F89" s="133">
        <f t="shared" si="5"/>
        <v>235522.60649759689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2:21">
      <c r="B90" s="140">
        <v>70</v>
      </c>
      <c r="C90" s="135">
        <f t="shared" si="2"/>
        <v>5003.0621598493835</v>
      </c>
      <c r="D90" s="135">
        <f t="shared" si="3"/>
        <v>736.00814530499019</v>
      </c>
      <c r="E90" s="135">
        <f t="shared" si="4"/>
        <v>4267.0540145443938</v>
      </c>
      <c r="F90" s="133">
        <f t="shared" si="5"/>
        <v>231255.55248305251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2:21">
      <c r="B91" s="140">
        <v>71</v>
      </c>
      <c r="C91" s="135">
        <f t="shared" si="2"/>
        <v>5003.0621598493835</v>
      </c>
      <c r="D91" s="135">
        <f t="shared" si="3"/>
        <v>722.67360150953903</v>
      </c>
      <c r="E91" s="135">
        <f t="shared" si="4"/>
        <v>4280.3885583398442</v>
      </c>
      <c r="F91" s="133">
        <f t="shared" si="5"/>
        <v>226975.16392471266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2:21">
      <c r="B92" s="140">
        <v>72</v>
      </c>
      <c r="C92" s="135">
        <f t="shared" si="2"/>
        <v>5003.0621598493835</v>
      </c>
      <c r="D92" s="135">
        <f t="shared" si="3"/>
        <v>709.29738726472704</v>
      </c>
      <c r="E92" s="135">
        <f t="shared" si="4"/>
        <v>4293.7647725846564</v>
      </c>
      <c r="F92" s="133">
        <f t="shared" si="5"/>
        <v>222681.399152128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2:21">
      <c r="B93" s="141">
        <v>73</v>
      </c>
      <c r="C93" s="135">
        <f t="shared" si="2"/>
        <v>5003.0621598493835</v>
      </c>
      <c r="D93" s="135">
        <f t="shared" si="3"/>
        <v>695.87937235039988</v>
      </c>
      <c r="E93" s="135">
        <f t="shared" si="4"/>
        <v>4307.182787498984</v>
      </c>
      <c r="F93" s="133">
        <f t="shared" si="5"/>
        <v>218374.21636462901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2:21">
      <c r="B94" s="141">
        <v>74</v>
      </c>
      <c r="C94" s="135">
        <f t="shared" si="2"/>
        <v>5003.0621598493835</v>
      </c>
      <c r="D94" s="135">
        <f t="shared" si="3"/>
        <v>682.4194261394656</v>
      </c>
      <c r="E94" s="135">
        <f t="shared" si="4"/>
        <v>4320.6427337099176</v>
      </c>
      <c r="F94" s="133">
        <f t="shared" si="5"/>
        <v>214053.5736309191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2:21">
      <c r="B95" s="141">
        <v>75</v>
      </c>
      <c r="C95" s="135">
        <f t="shared" si="2"/>
        <v>5003.0621598493835</v>
      </c>
      <c r="D95" s="135">
        <f t="shared" si="3"/>
        <v>668.91741759662216</v>
      </c>
      <c r="E95" s="135">
        <f t="shared" si="4"/>
        <v>4334.1447422527617</v>
      </c>
      <c r="F95" s="133">
        <f t="shared" si="5"/>
        <v>209719.42888866633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2:21">
      <c r="B96" s="141">
        <v>76</v>
      </c>
      <c r="C96" s="135">
        <f t="shared" si="2"/>
        <v>5003.0621598493835</v>
      </c>
      <c r="D96" s="135">
        <f t="shared" si="3"/>
        <v>655.37321527708218</v>
      </c>
      <c r="E96" s="135">
        <f t="shared" si="4"/>
        <v>4347.6889445723009</v>
      </c>
      <c r="F96" s="133">
        <f t="shared" si="5"/>
        <v>205371.73994409404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2:21">
      <c r="B97" s="141">
        <v>77</v>
      </c>
      <c r="C97" s="135">
        <f t="shared" si="2"/>
        <v>5003.0621598493835</v>
      </c>
      <c r="D97" s="135">
        <f t="shared" si="3"/>
        <v>641.78668732529377</v>
      </c>
      <c r="E97" s="135">
        <f t="shared" si="4"/>
        <v>4361.2754725240902</v>
      </c>
      <c r="F97" s="133">
        <f t="shared" si="5"/>
        <v>201010.46447156995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2:21">
      <c r="B98" s="141">
        <v>78</v>
      </c>
      <c r="C98" s="135">
        <f t="shared" si="2"/>
        <v>5003.0621598493835</v>
      </c>
      <c r="D98" s="135">
        <f t="shared" si="3"/>
        <v>628.15770147365606</v>
      </c>
      <c r="E98" s="135">
        <f t="shared" si="4"/>
        <v>4374.9044583757277</v>
      </c>
      <c r="F98" s="133">
        <f t="shared" si="5"/>
        <v>196635.56001319422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2:21">
      <c r="B99" s="141">
        <v>79</v>
      </c>
      <c r="C99" s="135">
        <f t="shared" si="2"/>
        <v>5003.0621598493835</v>
      </c>
      <c r="D99" s="135">
        <f t="shared" si="3"/>
        <v>614.48612504123184</v>
      </c>
      <c r="E99" s="135">
        <f t="shared" si="4"/>
        <v>4388.5760348081512</v>
      </c>
      <c r="F99" s="133">
        <f t="shared" si="5"/>
        <v>192246.98397838607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2:21">
      <c r="B100" s="141">
        <v>80</v>
      </c>
      <c r="C100" s="135">
        <f t="shared" si="2"/>
        <v>5003.0621598493835</v>
      </c>
      <c r="D100" s="135">
        <f t="shared" si="3"/>
        <v>600.77182493245641</v>
      </c>
      <c r="E100" s="135">
        <f t="shared" si="4"/>
        <v>4402.2903349169273</v>
      </c>
      <c r="F100" s="133">
        <f t="shared" si="5"/>
        <v>187844.69364346913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2:21">
      <c r="B101" s="141">
        <v>81</v>
      </c>
      <c r="C101" s="135">
        <f t="shared" si="2"/>
        <v>5003.0621598493835</v>
      </c>
      <c r="D101" s="135">
        <f t="shared" si="3"/>
        <v>587.01466763584096</v>
      </c>
      <c r="E101" s="135">
        <f t="shared" si="4"/>
        <v>4416.0474922135427</v>
      </c>
      <c r="F101" s="133">
        <f t="shared" si="5"/>
        <v>183428.64615125558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2:21">
      <c r="B102" s="141">
        <v>82</v>
      </c>
      <c r="C102" s="135">
        <f t="shared" si="2"/>
        <v>5003.0621598493835</v>
      </c>
      <c r="D102" s="135">
        <f t="shared" si="3"/>
        <v>573.21451922267363</v>
      </c>
      <c r="E102" s="135">
        <f t="shared" si="4"/>
        <v>4429.84764062671</v>
      </c>
      <c r="F102" s="133">
        <f t="shared" si="5"/>
        <v>178998.79851062887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2:21">
      <c r="B103" s="141">
        <v>83</v>
      </c>
      <c r="C103" s="135">
        <f t="shared" si="2"/>
        <v>5003.0621598493835</v>
      </c>
      <c r="D103" s="135">
        <f t="shared" si="3"/>
        <v>559.37124534571512</v>
      </c>
      <c r="E103" s="135">
        <f t="shared" si="4"/>
        <v>4443.690914503668</v>
      </c>
      <c r="F103" s="133">
        <f t="shared" si="5"/>
        <v>174555.10759612519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2:21">
      <c r="B104" s="141">
        <v>84</v>
      </c>
      <c r="C104" s="135">
        <f t="shared" si="2"/>
        <v>5003.0621598493835</v>
      </c>
      <c r="D104" s="135">
        <f t="shared" si="3"/>
        <v>545.48471123789113</v>
      </c>
      <c r="E104" s="135">
        <f t="shared" si="4"/>
        <v>4457.5774486114924</v>
      </c>
      <c r="F104" s="133">
        <f t="shared" si="5"/>
        <v>170097.53014751369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2:21">
      <c r="B105" s="142">
        <v>85</v>
      </c>
      <c r="C105" s="135">
        <f t="shared" si="2"/>
        <v>5003.0621598493835</v>
      </c>
      <c r="D105" s="135">
        <f t="shared" si="3"/>
        <v>531.55478171098025</v>
      </c>
      <c r="E105" s="135">
        <f t="shared" si="4"/>
        <v>4471.5073781384035</v>
      </c>
      <c r="F105" s="133">
        <f t="shared" si="5"/>
        <v>165626.0227693753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2:21">
      <c r="B106" s="142">
        <v>86</v>
      </c>
      <c r="C106" s="135">
        <f t="shared" si="2"/>
        <v>5003.0621598493835</v>
      </c>
      <c r="D106" s="135">
        <f t="shared" si="3"/>
        <v>517.58132115429771</v>
      </c>
      <c r="E106" s="135">
        <f t="shared" si="4"/>
        <v>4485.4808386950863</v>
      </c>
      <c r="F106" s="133">
        <f t="shared" si="5"/>
        <v>161140.54193068022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2:21">
      <c r="B107" s="142">
        <v>87</v>
      </c>
      <c r="C107" s="135">
        <f t="shared" si="2"/>
        <v>5003.0621598493835</v>
      </c>
      <c r="D107" s="135">
        <f t="shared" si="3"/>
        <v>503.56419353337566</v>
      </c>
      <c r="E107" s="135">
        <f t="shared" si="4"/>
        <v>4499.4979663160075</v>
      </c>
      <c r="F107" s="133">
        <f t="shared" si="5"/>
        <v>156641.04396436422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2:21">
      <c r="B108" s="142">
        <v>88</v>
      </c>
      <c r="C108" s="135">
        <f t="shared" si="2"/>
        <v>5003.0621598493835</v>
      </c>
      <c r="D108" s="135">
        <f t="shared" si="3"/>
        <v>489.50326238863812</v>
      </c>
      <c r="E108" s="135">
        <f t="shared" si="4"/>
        <v>4513.5588974607454</v>
      </c>
      <c r="F108" s="133">
        <f t="shared" si="5"/>
        <v>152127.48506690346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2:21">
      <c r="B109" s="142">
        <v>89</v>
      </c>
      <c r="C109" s="135">
        <f t="shared" si="2"/>
        <v>5003.0621598493835</v>
      </c>
      <c r="D109" s="135">
        <f t="shared" si="3"/>
        <v>475.39839083407327</v>
      </c>
      <c r="E109" s="135">
        <f t="shared" si="4"/>
        <v>4527.6637690153102</v>
      </c>
      <c r="F109" s="133">
        <f t="shared" si="5"/>
        <v>147599.82129788815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2:21">
      <c r="B110" s="142">
        <v>90</v>
      </c>
      <c r="C110" s="135">
        <f t="shared" si="2"/>
        <v>5003.0621598493835</v>
      </c>
      <c r="D110" s="135">
        <f t="shared" si="3"/>
        <v>461.24944155590043</v>
      </c>
      <c r="E110" s="135">
        <f t="shared" si="4"/>
        <v>4541.8127182934832</v>
      </c>
      <c r="F110" s="133">
        <f t="shared" si="5"/>
        <v>143058.00857959467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2:21">
      <c r="B111" s="142">
        <v>91</v>
      </c>
      <c r="C111" s="135">
        <f t="shared" si="2"/>
        <v>5003.0621598493835</v>
      </c>
      <c r="D111" s="135">
        <f t="shared" si="3"/>
        <v>447.05627681123332</v>
      </c>
      <c r="E111" s="135">
        <f t="shared" si="4"/>
        <v>4556.0058830381504</v>
      </c>
      <c r="F111" s="133">
        <f t="shared" si="5"/>
        <v>138502.0026965565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2:21">
      <c r="B112" s="142">
        <v>92</v>
      </c>
      <c r="C112" s="135">
        <f t="shared" si="2"/>
        <v>5003.0621598493835</v>
      </c>
      <c r="D112" s="135">
        <f t="shared" si="3"/>
        <v>432.81875842673907</v>
      </c>
      <c r="E112" s="135">
        <f t="shared" si="4"/>
        <v>4570.2434014226446</v>
      </c>
      <c r="F112" s="133">
        <f t="shared" si="5"/>
        <v>133931.75929513387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2:22">
      <c r="B113" s="142">
        <v>93</v>
      </c>
      <c r="C113" s="135">
        <f t="shared" si="2"/>
        <v>5003.0621598493835</v>
      </c>
      <c r="D113" s="135">
        <f t="shared" si="3"/>
        <v>418.53674779729334</v>
      </c>
      <c r="E113" s="135">
        <f t="shared" si="4"/>
        <v>4584.5254120520904</v>
      </c>
      <c r="F113" s="133">
        <f t="shared" si="5"/>
        <v>129347.23388308179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2:22">
      <c r="B114" s="142">
        <v>94</v>
      </c>
      <c r="C114" s="135">
        <f t="shared" si="2"/>
        <v>5003.0621598493835</v>
      </c>
      <c r="D114" s="135">
        <f t="shared" si="3"/>
        <v>404.21010588463054</v>
      </c>
      <c r="E114" s="135">
        <f t="shared" si="4"/>
        <v>4598.8520539647534</v>
      </c>
      <c r="F114" s="133">
        <f t="shared" si="5"/>
        <v>124748.38182911703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2:22">
      <c r="B115" s="142">
        <v>95</v>
      </c>
      <c r="C115" s="135">
        <f t="shared" si="2"/>
        <v>5003.0621598493835</v>
      </c>
      <c r="D115" s="135">
        <f t="shared" si="3"/>
        <v>389.8386932159907</v>
      </c>
      <c r="E115" s="135">
        <f t="shared" si="4"/>
        <v>4613.2234666333925</v>
      </c>
      <c r="F115" s="133">
        <f t="shared" si="5"/>
        <v>120135.15836248363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2:22">
      <c r="B116" s="142">
        <v>96</v>
      </c>
      <c r="C116" s="135">
        <f t="shared" si="2"/>
        <v>5003.0621598493835</v>
      </c>
      <c r="D116" s="135">
        <f t="shared" si="3"/>
        <v>375.4223698827613</v>
      </c>
      <c r="E116" s="135">
        <f t="shared" si="4"/>
        <v>4627.6397899666226</v>
      </c>
      <c r="F116" s="133">
        <f t="shared" si="5"/>
        <v>115507.51857251702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2:22">
      <c r="B117" s="143">
        <v>97</v>
      </c>
      <c r="C117" s="135">
        <f t="shared" si="2"/>
        <v>5003.0621598493835</v>
      </c>
      <c r="D117" s="135">
        <f t="shared" si="3"/>
        <v>360.96099553911563</v>
      </c>
      <c r="E117" s="135">
        <f t="shared" si="4"/>
        <v>4642.1011643102684</v>
      </c>
      <c r="F117" s="133">
        <f t="shared" si="5"/>
        <v>110865.41740820675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2:22">
      <c r="B118" s="143">
        <v>98</v>
      </c>
      <c r="C118" s="135">
        <f t="shared" si="2"/>
        <v>5003.0621598493835</v>
      </c>
      <c r="D118" s="135">
        <f t="shared" si="3"/>
        <v>346.45442940064606</v>
      </c>
      <c r="E118" s="135">
        <f t="shared" si="4"/>
        <v>4656.6077304487371</v>
      </c>
      <c r="F118" s="133">
        <f t="shared" si="5"/>
        <v>106208.80967775801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2:22">
      <c r="B119" s="143">
        <v>99</v>
      </c>
      <c r="C119" s="135">
        <f t="shared" si="2"/>
        <v>5003.0621598493835</v>
      </c>
      <c r="D119" s="135">
        <f t="shared" si="3"/>
        <v>331.90253024299375</v>
      </c>
      <c r="E119" s="135">
        <f t="shared" si="4"/>
        <v>4671.1596296063899</v>
      </c>
      <c r="F119" s="133">
        <f t="shared" si="5"/>
        <v>101537.65004815161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2:22">
      <c r="B120" s="143">
        <v>100</v>
      </c>
      <c r="C120" s="135">
        <f t="shared" si="2"/>
        <v>5003.0621598493835</v>
      </c>
      <c r="D120" s="135">
        <f t="shared" si="3"/>
        <v>317.30515640047378</v>
      </c>
      <c r="E120" s="135">
        <f t="shared" si="4"/>
        <v>4685.7570034489099</v>
      </c>
      <c r="F120" s="133">
        <f t="shared" si="5"/>
        <v>96851.893044702709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2:22">
      <c r="B121" s="143">
        <v>101</v>
      </c>
      <c r="C121" s="135">
        <f t="shared" si="2"/>
        <v>5003.0621598493835</v>
      </c>
      <c r="D121" s="135">
        <f t="shared" si="3"/>
        <v>302.66216576469594</v>
      </c>
      <c r="E121" s="135">
        <f t="shared" si="4"/>
        <v>4700.3999940846879</v>
      </c>
      <c r="F121" s="133">
        <f t="shared" si="5"/>
        <v>92151.493050618024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2:22">
      <c r="B122" s="143">
        <v>102</v>
      </c>
      <c r="C122" s="135">
        <f t="shared" si="2"/>
        <v>5003.0621598493835</v>
      </c>
      <c r="D122" s="135">
        <f t="shared" si="3"/>
        <v>287.97341578318128</v>
      </c>
      <c r="E122" s="135">
        <f t="shared" si="4"/>
        <v>4715.0887440662027</v>
      </c>
      <c r="F122" s="133">
        <f t="shared" si="5"/>
        <v>87436.40430655182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2:22">
      <c r="B123" s="143">
        <v>103</v>
      </c>
      <c r="C123" s="135">
        <f t="shared" si="2"/>
        <v>5003.0621598493835</v>
      </c>
      <c r="D123" s="135">
        <f t="shared" si="3"/>
        <v>273.23876345797441</v>
      </c>
      <c r="E123" s="135">
        <f t="shared" si="4"/>
        <v>4729.823396391409</v>
      </c>
      <c r="F123" s="133">
        <f t="shared" si="5"/>
        <v>82706.58091016041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2:22">
      <c r="B124" s="143">
        <v>104</v>
      </c>
      <c r="C124" s="135">
        <f t="shared" si="2"/>
        <v>5003.0621598493835</v>
      </c>
      <c r="D124" s="135">
        <f t="shared" si="3"/>
        <v>258.45806534425128</v>
      </c>
      <c r="E124" s="135">
        <f t="shared" si="4"/>
        <v>4744.6040945051318</v>
      </c>
      <c r="F124" s="133">
        <f t="shared" si="5"/>
        <v>77961.976815655275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2:22">
      <c r="B125" s="143">
        <v>105</v>
      </c>
      <c r="C125" s="135">
        <f t="shared" si="2"/>
        <v>5003.0621598493835</v>
      </c>
      <c r="D125" s="135">
        <f t="shared" si="3"/>
        <v>243.63117754892272</v>
      </c>
      <c r="E125" s="135">
        <f t="shared" si="4"/>
        <v>4759.4309823004605</v>
      </c>
      <c r="F125" s="133">
        <f t="shared" si="5"/>
        <v>73202.545833354816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2:22">
      <c r="B126" s="143">
        <v>106</v>
      </c>
      <c r="C126" s="135">
        <f t="shared" si="2"/>
        <v>5003.0621598493835</v>
      </c>
      <c r="D126" s="135">
        <f t="shared" si="3"/>
        <v>228.75795572923377</v>
      </c>
      <c r="E126" s="135">
        <f t="shared" si="4"/>
        <v>4774.3042041201497</v>
      </c>
      <c r="F126" s="133">
        <f t="shared" si="5"/>
        <v>68428.241629234661</v>
      </c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5"/>
    </row>
    <row r="127" spans="2:22">
      <c r="B127" s="143">
        <v>107</v>
      </c>
      <c r="C127" s="135">
        <f t="shared" si="2"/>
        <v>5003.0621598493835</v>
      </c>
      <c r="D127" s="135">
        <f t="shared" si="3"/>
        <v>213.83825509135829</v>
      </c>
      <c r="E127" s="135">
        <f t="shared" si="4"/>
        <v>4789.2239047580251</v>
      </c>
      <c r="F127" s="133">
        <f t="shared" si="5"/>
        <v>63639.017724476638</v>
      </c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5"/>
    </row>
    <row r="128" spans="2:22">
      <c r="B128" s="143">
        <v>108</v>
      </c>
      <c r="C128" s="135">
        <f t="shared" si="2"/>
        <v>5003.0621598493835</v>
      </c>
      <c r="D128" s="135">
        <f t="shared" si="3"/>
        <v>198.87193038898948</v>
      </c>
      <c r="E128" s="135">
        <f t="shared" si="4"/>
        <v>4804.1902294603942</v>
      </c>
      <c r="F128" s="133">
        <f t="shared" si="5"/>
        <v>58834.827495016245</v>
      </c>
      <c r="J128" s="144"/>
      <c r="K128" s="146"/>
      <c r="L128" s="147"/>
      <c r="M128" s="144"/>
      <c r="N128" s="144"/>
      <c r="O128" s="144"/>
      <c r="P128" s="144"/>
      <c r="Q128" s="144"/>
      <c r="R128" s="144"/>
      <c r="S128" s="144"/>
      <c r="T128" s="144"/>
      <c r="U128" s="144"/>
      <c r="V128" s="145"/>
    </row>
    <row r="129" spans="2:22">
      <c r="B129" s="148">
        <v>109</v>
      </c>
      <c r="C129" s="135">
        <f t="shared" si="2"/>
        <v>5003.0621598493835</v>
      </c>
      <c r="D129" s="135">
        <f t="shared" si="3"/>
        <v>183.85883592192576</v>
      </c>
      <c r="E129" s="135">
        <f t="shared" si="4"/>
        <v>4819.2033239274579</v>
      </c>
      <c r="F129" s="133">
        <f t="shared" si="5"/>
        <v>54015.624171088784</v>
      </c>
      <c r="J129" s="149"/>
      <c r="K129" s="146"/>
      <c r="L129" s="147"/>
      <c r="M129" s="144"/>
      <c r="N129" s="144"/>
      <c r="O129" s="144"/>
      <c r="P129" s="144"/>
      <c r="Q129" s="144"/>
      <c r="R129" s="144"/>
      <c r="S129" s="144"/>
      <c r="T129" s="144"/>
      <c r="U129" s="144"/>
      <c r="V129" s="145"/>
    </row>
    <row r="130" spans="2:22">
      <c r="B130" s="148">
        <v>110</v>
      </c>
      <c r="C130" s="135">
        <f t="shared" si="2"/>
        <v>5003.0621598493835</v>
      </c>
      <c r="D130" s="135">
        <f t="shared" si="3"/>
        <v>168.79882553465245</v>
      </c>
      <c r="E130" s="135">
        <f t="shared" si="4"/>
        <v>4834.2633343147309</v>
      </c>
      <c r="F130" s="133">
        <f t="shared" si="5"/>
        <v>49181.360836774053</v>
      </c>
      <c r="J130" s="149"/>
      <c r="K130" s="146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45"/>
    </row>
    <row r="131" spans="2:22">
      <c r="B131" s="148">
        <v>111</v>
      </c>
      <c r="C131" s="135">
        <f t="shared" si="2"/>
        <v>5003.0621598493835</v>
      </c>
      <c r="D131" s="135">
        <f t="shared" si="3"/>
        <v>153.6917526149189</v>
      </c>
      <c r="E131" s="135">
        <f t="shared" si="4"/>
        <v>4849.3704072344644</v>
      </c>
      <c r="F131" s="133">
        <f t="shared" si="5"/>
        <v>44331.99042953959</v>
      </c>
      <c r="J131" s="149"/>
      <c r="K131" s="146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5"/>
    </row>
    <row r="132" spans="2:22">
      <c r="B132" s="148">
        <v>112</v>
      </c>
      <c r="C132" s="135">
        <f t="shared" si="2"/>
        <v>5003.0621598493835</v>
      </c>
      <c r="D132" s="135">
        <f t="shared" si="3"/>
        <v>138.5374700923112</v>
      </c>
      <c r="E132" s="135">
        <f t="shared" si="4"/>
        <v>4864.5246897570723</v>
      </c>
      <c r="F132" s="133">
        <f t="shared" si="5"/>
        <v>39467.465739782521</v>
      </c>
      <c r="J132" s="149"/>
      <c r="K132" s="146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5"/>
    </row>
    <row r="133" spans="2:22">
      <c r="B133" s="148">
        <v>113</v>
      </c>
      <c r="C133" s="135">
        <f t="shared" si="2"/>
        <v>5003.0621598493835</v>
      </c>
      <c r="D133" s="135">
        <f t="shared" si="3"/>
        <v>123.33583043682037</v>
      </c>
      <c r="E133" s="135">
        <f t="shared" si="4"/>
        <v>4879.7263294125632</v>
      </c>
      <c r="F133" s="133">
        <f t="shared" si="5"/>
        <v>34587.739410369955</v>
      </c>
      <c r="J133" s="149"/>
      <c r="K133" s="146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45"/>
    </row>
    <row r="134" spans="2:22">
      <c r="B134" s="148">
        <v>114</v>
      </c>
      <c r="C134" s="135">
        <f t="shared" si="2"/>
        <v>5003.0621598493835</v>
      </c>
      <c r="D134" s="135">
        <f t="shared" si="3"/>
        <v>108.08668565740611</v>
      </c>
      <c r="E134" s="135">
        <f t="shared" si="4"/>
        <v>4894.9754741919778</v>
      </c>
      <c r="F134" s="133">
        <f t="shared" si="5"/>
        <v>29692.763936177977</v>
      </c>
      <c r="J134" s="149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5"/>
    </row>
    <row r="135" spans="2:22">
      <c r="B135" s="148">
        <v>115</v>
      </c>
      <c r="C135" s="135">
        <f t="shared" si="2"/>
        <v>5003.0621598493835</v>
      </c>
      <c r="D135" s="135">
        <f t="shared" si="3"/>
        <v>92.789887300556174</v>
      </c>
      <c r="E135" s="135">
        <f t="shared" si="4"/>
        <v>4910.2722725488275</v>
      </c>
      <c r="F135" s="133">
        <f t="shared" si="5"/>
        <v>24782.491663629149</v>
      </c>
      <c r="J135" s="149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5"/>
    </row>
    <row r="136" spans="2:22">
      <c r="B136" s="148">
        <v>116</v>
      </c>
      <c r="C136" s="135">
        <f t="shared" si="2"/>
        <v>5003.0621598493835</v>
      </c>
      <c r="D136" s="135">
        <f t="shared" si="3"/>
        <v>77.445286448841088</v>
      </c>
      <c r="E136" s="135">
        <f t="shared" si="4"/>
        <v>4925.6168734005423</v>
      </c>
      <c r="F136" s="133">
        <f t="shared" si="5"/>
        <v>19856.874790228605</v>
      </c>
      <c r="J136" s="149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5"/>
    </row>
    <row r="137" spans="2:22">
      <c r="B137" s="148">
        <v>117</v>
      </c>
      <c r="C137" s="135">
        <f t="shared" si="2"/>
        <v>5003.0621598493835</v>
      </c>
      <c r="D137" s="135">
        <f t="shared" si="3"/>
        <v>62.052733719464385</v>
      </c>
      <c r="E137" s="135">
        <f t="shared" si="4"/>
        <v>4941.0094261299191</v>
      </c>
      <c r="F137" s="133">
        <f t="shared" si="5"/>
        <v>14915.865364098685</v>
      </c>
      <c r="J137" s="149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5"/>
    </row>
    <row r="138" spans="2:22">
      <c r="B138" s="148">
        <v>118</v>
      </c>
      <c r="C138" s="135">
        <f t="shared" si="2"/>
        <v>5003.0621598493835</v>
      </c>
      <c r="D138" s="135">
        <f t="shared" si="3"/>
        <v>46.612079262808386</v>
      </c>
      <c r="E138" s="135">
        <f t="shared" si="4"/>
        <v>4956.4500805865755</v>
      </c>
      <c r="F138" s="133">
        <f t="shared" si="5"/>
        <v>9959.4152835121095</v>
      </c>
      <c r="J138" s="149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5"/>
    </row>
    <row r="139" spans="2:22">
      <c r="B139" s="148">
        <v>119</v>
      </c>
      <c r="C139" s="135">
        <f t="shared" si="2"/>
        <v>5003.0621598493835</v>
      </c>
      <c r="D139" s="135">
        <f t="shared" si="3"/>
        <v>31.12317276097534</v>
      </c>
      <c r="E139" s="135">
        <f t="shared" si="4"/>
        <v>4971.9389870884079</v>
      </c>
      <c r="F139" s="133">
        <f t="shared" si="5"/>
        <v>4987.4762964237016</v>
      </c>
      <c r="J139" s="149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5"/>
    </row>
    <row r="140" spans="2:22">
      <c r="B140" s="148">
        <v>120</v>
      </c>
      <c r="C140" s="135">
        <f t="shared" si="2"/>
        <v>5003.0621598493835</v>
      </c>
      <c r="D140" s="135">
        <f t="shared" si="3"/>
        <v>15.585863426324066</v>
      </c>
      <c r="E140" s="135">
        <f t="shared" si="4"/>
        <v>4987.4762964230595</v>
      </c>
      <c r="F140" s="133">
        <f t="shared" si="5"/>
        <v>6.4210325945168734E-10</v>
      </c>
      <c r="J140" s="149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5"/>
    </row>
    <row r="141" spans="2:22">
      <c r="J141" s="149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5"/>
    </row>
    <row r="142" spans="2:22">
      <c r="J142" s="149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5"/>
    </row>
    <row r="143" spans="2:22">
      <c r="J143" s="149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5"/>
    </row>
    <row r="144" spans="2:22">
      <c r="J144" s="149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5"/>
    </row>
    <row r="145" spans="2:22">
      <c r="J145" s="149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5"/>
    </row>
    <row r="146" spans="2:22">
      <c r="J146" s="149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5"/>
    </row>
    <row r="147" spans="2:22">
      <c r="B147" s="1"/>
      <c r="J147" s="149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5"/>
    </row>
    <row r="148" spans="2:22">
      <c r="B148" s="1"/>
      <c r="J148" s="149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5"/>
    </row>
    <row r="149" spans="2:22">
      <c r="B149" s="1"/>
      <c r="J149" s="149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5"/>
    </row>
    <row r="150" spans="2:22">
      <c r="B150" s="1"/>
      <c r="J150" s="149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5"/>
    </row>
    <row r="151" spans="2:22">
      <c r="B151" s="1"/>
      <c r="J151" s="149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5"/>
    </row>
    <row r="152" spans="2:22">
      <c r="B152" s="1"/>
      <c r="J152" s="149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5"/>
    </row>
    <row r="153" spans="2:22">
      <c r="B153" s="1"/>
      <c r="J153" s="149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5"/>
    </row>
    <row r="154" spans="2:22">
      <c r="B154" s="1"/>
      <c r="J154" s="149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5"/>
    </row>
    <row r="155" spans="2:22">
      <c r="B155" s="1"/>
      <c r="J155" s="149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5"/>
    </row>
    <row r="156" spans="2:22">
      <c r="B156" s="1"/>
      <c r="J156" s="149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5"/>
    </row>
    <row r="157" spans="2:22">
      <c r="B157" s="1"/>
      <c r="J157" s="149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5"/>
    </row>
    <row r="158" spans="2:22">
      <c r="B158" s="1"/>
      <c r="J158" s="149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5"/>
    </row>
    <row r="159" spans="2:22">
      <c r="B159" s="1"/>
      <c r="C159" s="152"/>
      <c r="D159" s="152"/>
      <c r="E159" s="152"/>
      <c r="F159" s="152"/>
      <c r="G159" s="152"/>
      <c r="H159" s="152"/>
      <c r="I159" s="152"/>
      <c r="J159" s="153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5"/>
    </row>
    <row r="160" spans="2:22">
      <c r="B160" s="1"/>
      <c r="C160" s="144"/>
      <c r="D160" s="144"/>
      <c r="E160" s="15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5"/>
    </row>
    <row r="161" spans="2:22">
      <c r="B161" s="1"/>
      <c r="C161" s="144"/>
      <c r="D161" s="144"/>
      <c r="E161" s="15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5"/>
    </row>
    <row r="162" spans="2:22">
      <c r="B162" s="1"/>
      <c r="C162" s="144"/>
      <c r="D162" s="144"/>
      <c r="E162" s="15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5"/>
    </row>
    <row r="163" spans="2:22">
      <c r="B163" s="1"/>
      <c r="C163" s="144"/>
      <c r="D163" s="144"/>
      <c r="E163" s="15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5"/>
    </row>
    <row r="164" spans="2:22">
      <c r="B164" s="1"/>
      <c r="C164" s="144"/>
      <c r="D164" s="144"/>
      <c r="E164" s="15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5"/>
    </row>
    <row r="165" spans="2:22">
      <c r="B165" s="1"/>
      <c r="C165" s="144"/>
      <c r="D165" s="144"/>
      <c r="E165" s="15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5"/>
    </row>
    <row r="166" spans="2:22">
      <c r="B166" s="1"/>
      <c r="C166" s="144"/>
      <c r="D166" s="144"/>
      <c r="E166" s="15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5"/>
    </row>
    <row r="167" spans="2:22">
      <c r="B167" s="1"/>
      <c r="C167" s="144"/>
      <c r="D167" s="144"/>
      <c r="E167" s="15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5"/>
    </row>
    <row r="168" spans="2:22">
      <c r="B168" s="1"/>
      <c r="C168" s="144"/>
      <c r="D168" s="144"/>
      <c r="E168" s="15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5"/>
    </row>
    <row r="169" spans="2:22">
      <c r="B169" s="1"/>
      <c r="C169" s="144"/>
      <c r="D169" s="144"/>
      <c r="E169" s="15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5"/>
    </row>
    <row r="170" spans="2:22">
      <c r="B170" s="1"/>
      <c r="C170" s="144"/>
      <c r="D170" s="144"/>
      <c r="E170" s="15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5"/>
    </row>
    <row r="171" spans="2:22">
      <c r="B171" s="1"/>
      <c r="C171" s="144"/>
      <c r="D171" s="144"/>
      <c r="E171" s="15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5"/>
    </row>
    <row r="172" spans="2:22">
      <c r="B172" s="1"/>
      <c r="C172" s="144"/>
      <c r="D172" s="144"/>
      <c r="E172" s="15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5"/>
    </row>
    <row r="173" spans="2:22">
      <c r="B173" s="1"/>
      <c r="C173" s="144"/>
      <c r="D173" s="144"/>
      <c r="E173" s="15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5"/>
    </row>
    <row r="174" spans="2:22">
      <c r="B174" s="1"/>
      <c r="C174" s="144"/>
      <c r="D174" s="144"/>
      <c r="E174" s="15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5"/>
    </row>
    <row r="175" spans="2:22">
      <c r="B175" s="1"/>
      <c r="C175" s="144"/>
      <c r="D175" s="144"/>
      <c r="E175" s="15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5"/>
    </row>
    <row r="176" spans="2:22">
      <c r="B176" s="1"/>
      <c r="C176" s="144"/>
      <c r="D176" s="144"/>
      <c r="E176" s="15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5"/>
    </row>
    <row r="177" spans="2:22">
      <c r="B177" s="1"/>
      <c r="C177" s="144"/>
      <c r="D177" s="144"/>
      <c r="E177" s="15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5"/>
    </row>
    <row r="178" spans="2:22">
      <c r="B178" s="1"/>
      <c r="C178" s="144"/>
      <c r="D178" s="144"/>
      <c r="E178" s="15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5"/>
    </row>
    <row r="179" spans="2:22">
      <c r="B179" s="1"/>
      <c r="C179" s="144"/>
      <c r="D179" s="144"/>
      <c r="E179" s="15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5"/>
    </row>
    <row r="180" spans="2:22">
      <c r="B180" s="1"/>
      <c r="C180" s="144"/>
      <c r="D180" s="144"/>
      <c r="E180" s="15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5"/>
    </row>
    <row r="181" spans="2:22">
      <c r="B181" s="1"/>
      <c r="C181" s="144"/>
      <c r="D181" s="144"/>
      <c r="E181" s="15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5"/>
    </row>
    <row r="182" spans="2:22">
      <c r="B182" s="1"/>
      <c r="C182" s="144"/>
      <c r="D182" s="144"/>
      <c r="E182" s="15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5"/>
    </row>
    <row r="183" spans="2:22">
      <c r="B183" s="1"/>
      <c r="C183" s="144"/>
      <c r="D183" s="144"/>
      <c r="E183" s="15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5"/>
    </row>
    <row r="184" spans="2:22">
      <c r="B184" s="1"/>
      <c r="C184" s="144"/>
      <c r="D184" s="144"/>
      <c r="E184" s="15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5"/>
    </row>
    <row r="185" spans="2:22">
      <c r="B185" s="1"/>
      <c r="C185" s="144"/>
      <c r="D185" s="144"/>
      <c r="E185" s="15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5"/>
    </row>
    <row r="186" spans="2:22">
      <c r="B186" s="1"/>
      <c r="C186" s="144"/>
      <c r="D186" s="144"/>
      <c r="E186" s="15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5"/>
    </row>
    <row r="187" spans="2:22">
      <c r="B187" s="1"/>
      <c r="C187" s="144"/>
      <c r="D187" s="144"/>
      <c r="E187" s="15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5"/>
    </row>
    <row r="188" spans="2:22">
      <c r="B188" s="1"/>
      <c r="C188" s="144"/>
      <c r="D188" s="144"/>
      <c r="E188" s="15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5"/>
    </row>
    <row r="189" spans="2:22">
      <c r="B189" s="1"/>
      <c r="C189" s="144"/>
      <c r="D189" s="144"/>
      <c r="E189" s="15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5"/>
    </row>
    <row r="190" spans="2:22">
      <c r="B190" s="1"/>
      <c r="C190" s="144"/>
      <c r="D190" s="144"/>
      <c r="E190" s="15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5"/>
    </row>
    <row r="191" spans="2:22">
      <c r="B191" s="1"/>
      <c r="C191" s="144"/>
      <c r="D191" s="144"/>
      <c r="E191" s="15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5"/>
    </row>
    <row r="192" spans="2:22">
      <c r="B192" s="1"/>
      <c r="C192" s="144"/>
      <c r="D192" s="144"/>
      <c r="E192" s="15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5"/>
    </row>
    <row r="193" spans="2:22">
      <c r="B193" s="1"/>
      <c r="C193" s="144"/>
      <c r="D193" s="144"/>
      <c r="E193" s="15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5"/>
    </row>
    <row r="194" spans="2:22">
      <c r="B194" s="1"/>
      <c r="C194" s="144"/>
      <c r="D194" s="144"/>
      <c r="E194" s="15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5"/>
    </row>
    <row r="195" spans="2:22">
      <c r="B195" s="1"/>
      <c r="C195" s="144"/>
      <c r="D195" s="144"/>
      <c r="E195" s="15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5"/>
    </row>
    <row r="196" spans="2:22">
      <c r="B196" s="1"/>
      <c r="C196" s="144"/>
      <c r="D196" s="144"/>
      <c r="E196" s="15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5"/>
    </row>
    <row r="197" spans="2:22">
      <c r="B197" s="1"/>
      <c r="C197" s="144"/>
      <c r="D197" s="144"/>
      <c r="E197" s="15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5"/>
    </row>
    <row r="198" spans="2:22">
      <c r="B198" s="1"/>
      <c r="C198" s="144"/>
      <c r="D198" s="144"/>
      <c r="E198" s="15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5"/>
    </row>
    <row r="199" spans="2:22">
      <c r="B199" s="1"/>
      <c r="C199" s="144"/>
      <c r="D199" s="144"/>
      <c r="E199" s="15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5"/>
    </row>
    <row r="200" spans="2:22">
      <c r="B200" s="1"/>
      <c r="C200" s="144"/>
      <c r="D200" s="144"/>
      <c r="E200" s="15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5"/>
    </row>
    <row r="201" spans="2:22">
      <c r="B201" s="1"/>
      <c r="C201" s="144"/>
      <c r="D201" s="144"/>
      <c r="E201" s="15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5"/>
    </row>
    <row r="202" spans="2:22">
      <c r="B202" s="1"/>
      <c r="C202" s="144"/>
      <c r="D202" s="144"/>
      <c r="E202" s="15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5"/>
    </row>
    <row r="203" spans="2:22">
      <c r="B203" s="1"/>
      <c r="C203" s="144"/>
      <c r="D203" s="144"/>
      <c r="E203" s="15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5"/>
    </row>
    <row r="204" spans="2:22">
      <c r="B204" s="1"/>
      <c r="C204" s="144"/>
      <c r="D204" s="144"/>
      <c r="E204" s="15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5"/>
    </row>
    <row r="205" spans="2:22">
      <c r="B205" s="1"/>
      <c r="C205" s="144"/>
      <c r="D205" s="144"/>
      <c r="E205" s="15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5"/>
    </row>
    <row r="206" spans="2:22">
      <c r="B206" s="1"/>
      <c r="C206" s="144"/>
      <c r="D206" s="144"/>
      <c r="E206" s="15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5"/>
    </row>
    <row r="207" spans="2:22">
      <c r="B207" s="1"/>
      <c r="C207" s="144"/>
      <c r="D207" s="144"/>
      <c r="E207" s="15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5"/>
    </row>
    <row r="208" spans="2:22">
      <c r="B208" s="1"/>
      <c r="C208" s="144"/>
      <c r="D208" s="144"/>
      <c r="E208" s="15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5"/>
    </row>
    <row r="209" spans="2:22">
      <c r="B209" s="1"/>
      <c r="C209" s="144"/>
      <c r="D209" s="144"/>
      <c r="E209" s="15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5"/>
    </row>
    <row r="210" spans="2:22">
      <c r="B210" s="1"/>
      <c r="C210" s="144"/>
      <c r="D210" s="144"/>
      <c r="E210" s="15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5"/>
    </row>
    <row r="211" spans="2:22">
      <c r="B211" s="1"/>
      <c r="C211" s="144"/>
      <c r="D211" s="144"/>
      <c r="E211" s="15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5"/>
    </row>
    <row r="212" spans="2:22">
      <c r="B212" s="1"/>
      <c r="C212" s="144"/>
      <c r="D212" s="144"/>
      <c r="E212" s="15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5"/>
    </row>
    <row r="213" spans="2:22">
      <c r="B213" s="1"/>
      <c r="C213" s="144"/>
      <c r="D213" s="144"/>
      <c r="E213" s="15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5"/>
    </row>
    <row r="214" spans="2:22">
      <c r="B214" s="1"/>
      <c r="C214" s="144"/>
      <c r="D214" s="144"/>
      <c r="E214" s="15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5"/>
    </row>
    <row r="215" spans="2:22">
      <c r="B215" s="1"/>
      <c r="C215" s="144"/>
      <c r="D215" s="144"/>
      <c r="E215" s="15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5"/>
    </row>
    <row r="216" spans="2:22">
      <c r="B216" s="1"/>
      <c r="C216" s="144"/>
      <c r="D216" s="144"/>
      <c r="E216" s="15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5"/>
    </row>
    <row r="217" spans="2:22">
      <c r="B217" s="1"/>
      <c r="C217" s="144"/>
      <c r="D217" s="144"/>
      <c r="E217" s="15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5"/>
    </row>
    <row r="218" spans="2:22">
      <c r="B218" s="1"/>
      <c r="C218" s="144"/>
      <c r="D218" s="144"/>
      <c r="E218" s="15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5"/>
    </row>
    <row r="219" spans="2:22">
      <c r="B219" s="1"/>
      <c r="C219" s="144"/>
      <c r="D219" s="144"/>
      <c r="E219" s="15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5"/>
    </row>
    <row r="220" spans="2:22">
      <c r="B220" s="1"/>
      <c r="C220" s="144"/>
      <c r="D220" s="144"/>
      <c r="E220" s="15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5"/>
    </row>
    <row r="221" spans="2:22">
      <c r="B221" s="1"/>
      <c r="C221" s="144"/>
      <c r="D221" s="144"/>
      <c r="E221" s="15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5"/>
    </row>
    <row r="222" spans="2:22">
      <c r="B222" s="1"/>
      <c r="C222" s="144"/>
      <c r="D222" s="144"/>
      <c r="E222" s="15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5"/>
    </row>
    <row r="223" spans="2:22">
      <c r="B223" s="1"/>
      <c r="C223" s="144"/>
      <c r="D223" s="144"/>
      <c r="E223" s="15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5"/>
    </row>
    <row r="224" spans="2:22">
      <c r="B224" s="1"/>
      <c r="C224" s="144"/>
      <c r="D224" s="144"/>
      <c r="E224" s="15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5"/>
    </row>
    <row r="225" spans="2:22">
      <c r="B225" s="1"/>
      <c r="C225" s="144"/>
      <c r="D225" s="144"/>
      <c r="E225" s="15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5"/>
    </row>
    <row r="226" spans="2:22">
      <c r="B226" s="1"/>
      <c r="C226" s="144"/>
      <c r="D226" s="144"/>
      <c r="E226" s="15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5"/>
    </row>
    <row r="227" spans="2:22">
      <c r="B227" s="1"/>
      <c r="C227" s="144"/>
      <c r="D227" s="144"/>
      <c r="E227" s="15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5"/>
    </row>
    <row r="228" spans="2:22">
      <c r="B228" s="1"/>
      <c r="C228" s="144"/>
      <c r="D228" s="144"/>
      <c r="E228" s="15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5"/>
    </row>
    <row r="229" spans="2:22">
      <c r="B229" s="1"/>
      <c r="C229" s="144"/>
      <c r="D229" s="144"/>
      <c r="E229" s="15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5"/>
    </row>
    <row r="230" spans="2:22">
      <c r="B230" s="1"/>
      <c r="C230" s="144"/>
      <c r="D230" s="144"/>
      <c r="E230" s="15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5"/>
    </row>
    <row r="231" spans="2:22">
      <c r="B231" s="1"/>
      <c r="C231" s="144"/>
      <c r="D231" s="144"/>
      <c r="E231" s="15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5"/>
    </row>
    <row r="232" spans="2:22">
      <c r="B232" s="1"/>
      <c r="C232" s="144"/>
      <c r="D232" s="144"/>
      <c r="E232" s="15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5"/>
    </row>
    <row r="233" spans="2:22">
      <c r="B233" s="1"/>
      <c r="C233" s="144"/>
      <c r="D233" s="144"/>
      <c r="E233" s="15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5"/>
    </row>
    <row r="234" spans="2:22">
      <c r="B234" s="1"/>
      <c r="C234" s="144"/>
      <c r="D234" s="144"/>
      <c r="E234" s="15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5"/>
    </row>
    <row r="235" spans="2:22">
      <c r="B235" s="1"/>
      <c r="C235" s="144"/>
      <c r="D235" s="144"/>
      <c r="E235" s="15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5"/>
    </row>
    <row r="236" spans="2:22">
      <c r="B236" s="1"/>
      <c r="C236" s="144"/>
      <c r="D236" s="144"/>
      <c r="E236" s="15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5"/>
    </row>
    <row r="237" spans="2:22">
      <c r="B237" s="1"/>
      <c r="C237" s="144"/>
      <c r="D237" s="144"/>
      <c r="E237" s="15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5"/>
    </row>
    <row r="238" spans="2:22">
      <c r="B238" s="1"/>
      <c r="C238" s="144"/>
      <c r="D238" s="144"/>
      <c r="E238" s="15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5"/>
    </row>
    <row r="239" spans="2:22">
      <c r="B239" s="1"/>
      <c r="C239" s="144"/>
      <c r="D239" s="144"/>
      <c r="E239" s="15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5"/>
    </row>
    <row r="240" spans="2:22">
      <c r="B240" s="1"/>
      <c r="C240" s="144"/>
      <c r="D240" s="144"/>
      <c r="E240" s="15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5"/>
    </row>
    <row r="241" spans="2:22">
      <c r="B241" s="1"/>
      <c r="C241" s="144"/>
      <c r="D241" s="144"/>
      <c r="E241" s="15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5"/>
    </row>
    <row r="242" spans="2:22">
      <c r="B242" s="1"/>
      <c r="C242" s="144"/>
      <c r="D242" s="144"/>
      <c r="E242" s="15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5"/>
    </row>
    <row r="243" spans="2:22">
      <c r="B243" s="1"/>
      <c r="C243" s="144"/>
      <c r="D243" s="144"/>
      <c r="E243" s="15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5"/>
    </row>
    <row r="244" spans="2:22">
      <c r="B244" s="1"/>
      <c r="C244" s="144"/>
      <c r="D244" s="144"/>
      <c r="E244" s="15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5"/>
    </row>
    <row r="245" spans="2:22">
      <c r="B245" s="1"/>
      <c r="C245" s="144"/>
      <c r="D245" s="144"/>
      <c r="E245" s="15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5"/>
    </row>
    <row r="246" spans="2:22">
      <c r="B246" s="1"/>
      <c r="C246" s="144"/>
      <c r="D246" s="144"/>
      <c r="E246" s="15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5"/>
    </row>
    <row r="247" spans="2:22">
      <c r="B247" s="1"/>
      <c r="C247" s="144"/>
      <c r="D247" s="144"/>
      <c r="E247" s="15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5"/>
    </row>
    <row r="248" spans="2:22"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</row>
    <row r="249" spans="2:22"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</row>
    <row r="250" spans="2:22"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</row>
    <row r="251" spans="2:22"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</row>
    <row r="252" spans="2:22"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</row>
    <row r="253" spans="2:22"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</row>
    <row r="254" spans="2:22"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</row>
    <row r="255" spans="2:22"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</row>
    <row r="256" spans="2:22"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</row>
    <row r="257" spans="3:22"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</row>
    <row r="258" spans="3:22"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</row>
    <row r="259" spans="3:22"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</row>
    <row r="260" spans="3:22"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</row>
    <row r="261" spans="3:22"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</row>
    <row r="262" spans="3:22"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</row>
    <row r="263" spans="3:22"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</row>
    <row r="264" spans="3:22"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</row>
    <row r="265" spans="3:22"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</row>
    <row r="266" spans="3:22"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</row>
    <row r="267" spans="3:22"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</row>
    <row r="268" spans="3:22"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</row>
    <row r="269" spans="3:22"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</row>
    <row r="270" spans="3:22"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</row>
    <row r="271" spans="3:22"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</row>
    <row r="272" spans="3:22"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</row>
    <row r="273" spans="3:22"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</row>
    <row r="274" spans="3:22"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</row>
    <row r="275" spans="3:22"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</row>
    <row r="276" spans="3:22"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</row>
    <row r="277" spans="3:22"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</row>
    <row r="278" spans="3:22"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</row>
    <row r="279" spans="3:22"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</row>
    <row r="280" spans="3:22"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</row>
    <row r="281" spans="3:22"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</row>
    <row r="282" spans="3:22"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</row>
    <row r="283" spans="3:22"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</row>
    <row r="284" spans="3:22"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</row>
    <row r="285" spans="3:22"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</row>
    <row r="286" spans="3:22"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</row>
    <row r="287" spans="3:22"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</row>
    <row r="288" spans="3:22"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</row>
    <row r="289" spans="3:22"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</row>
    <row r="290" spans="3:22"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</row>
    <row r="291" spans="3:22"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</row>
    <row r="292" spans="3:22"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</row>
    <row r="293" spans="3:22"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</row>
    <row r="294" spans="3:22"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</row>
    <row r="295" spans="3:22"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</row>
    <row r="296" spans="3:22"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</row>
    <row r="297" spans="3:22"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</row>
    <row r="298" spans="3:22"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</row>
    <row r="299" spans="3:22"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</row>
    <row r="300" spans="3:22"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</row>
    <row r="301" spans="3:22"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</row>
    <row r="302" spans="3:22"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</row>
    <row r="303" spans="3:22"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</row>
    <row r="304" spans="3:22"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</row>
    <row r="305" spans="3:22"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</row>
    <row r="306" spans="3:22"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</row>
    <row r="307" spans="3:22"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</row>
    <row r="308" spans="3:22"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</row>
    <row r="309" spans="3:22"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</row>
    <row r="310" spans="3:22"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</row>
    <row r="311" spans="3:22"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</row>
    <row r="312" spans="3:22"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</row>
    <row r="313" spans="3:22"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</row>
    <row r="314" spans="3:22"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</row>
    <row r="315" spans="3:22"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</row>
    <row r="316" spans="3:22"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</row>
    <row r="317" spans="3:22"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</row>
    <row r="318" spans="3:22"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</row>
    <row r="319" spans="3:22"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</row>
    <row r="320" spans="3:22"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</row>
    <row r="321" spans="3:22"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</row>
    <row r="322" spans="3:22"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</row>
    <row r="323" spans="3:22"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</row>
    <row r="324" spans="3:22"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</row>
    <row r="325" spans="3:22"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</row>
    <row r="326" spans="3:22"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</row>
    <row r="327" spans="3:22"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</row>
    <row r="328" spans="3:22"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</row>
    <row r="329" spans="3:22"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</row>
    <row r="330" spans="3:22"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</row>
    <row r="331" spans="3:22"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</row>
    <row r="332" spans="3:22"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</row>
    <row r="333" spans="3:22"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</row>
    <row r="334" spans="3:22"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</row>
    <row r="335" spans="3:22"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</row>
    <row r="336" spans="3:22"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</row>
    <row r="337" spans="3:22"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</row>
    <row r="338" spans="3:22"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</row>
    <row r="339" spans="3:22"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</row>
    <row r="340" spans="3:22"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</row>
    <row r="341" spans="3:22"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</row>
    <row r="342" spans="3:22"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</row>
    <row r="343" spans="3:22"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</row>
    <row r="344" spans="3:22"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</row>
    <row r="345" spans="3:22"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</row>
    <row r="346" spans="3:22"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</row>
    <row r="347" spans="3:22"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</row>
    <row r="348" spans="3:22"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</row>
    <row r="349" spans="3:22"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</row>
    <row r="350" spans="3:22"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</row>
    <row r="351" spans="3:22"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</row>
    <row r="352" spans="3:22"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</row>
    <row r="353" spans="3:22"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</row>
    <row r="354" spans="3:22"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</row>
    <row r="355" spans="3:22"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</row>
    <row r="356" spans="3:22"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</row>
    <row r="357" spans="3:22"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</row>
    <row r="358" spans="3:22"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</row>
    <row r="359" spans="3:22"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</row>
    <row r="360" spans="3:22"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</row>
  </sheetData>
  <mergeCells count="1">
    <mergeCell ref="B16:F1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  <outlinePr summaryBelow="0" summaryRight="0"/>
  </sheetPr>
  <dimension ref="B1:L997"/>
  <sheetViews>
    <sheetView workbookViewId="0"/>
  </sheetViews>
  <sheetFormatPr defaultColWidth="14.42578125" defaultRowHeight="15" customHeight="1"/>
  <cols>
    <col min="2" max="2" width="46.42578125" customWidth="1"/>
  </cols>
  <sheetData>
    <row r="1" spans="2:12"/>
    <row r="2" spans="2:12">
      <c r="B2" s="272" t="s">
        <v>205</v>
      </c>
      <c r="C2" s="252"/>
      <c r="D2" s="252"/>
      <c r="E2" s="252"/>
      <c r="F2" s="252"/>
      <c r="G2" s="252"/>
      <c r="H2" s="252"/>
      <c r="I2" s="252"/>
      <c r="J2" s="252"/>
      <c r="K2" s="252"/>
      <c r="L2" s="253"/>
    </row>
    <row r="3" spans="2:12" ht="15" customHeight="1">
      <c r="B3" s="259"/>
      <c r="C3" s="260"/>
      <c r="D3" s="260"/>
      <c r="E3" s="260"/>
      <c r="F3" s="260"/>
      <c r="G3" s="260"/>
      <c r="H3" s="260"/>
      <c r="I3" s="260"/>
      <c r="J3" s="260"/>
      <c r="K3" s="260"/>
      <c r="L3" s="261"/>
    </row>
    <row r="4" spans="2:12">
      <c r="B4" s="155" t="s">
        <v>206</v>
      </c>
      <c r="C4" s="156">
        <v>2025</v>
      </c>
      <c r="D4" s="156">
        <v>2026</v>
      </c>
      <c r="E4" s="156">
        <v>2027</v>
      </c>
      <c r="F4" s="156">
        <v>2028</v>
      </c>
      <c r="G4" s="156">
        <v>2029</v>
      </c>
      <c r="H4" s="156">
        <v>2030</v>
      </c>
      <c r="I4" s="156">
        <v>2031</v>
      </c>
      <c r="J4" s="156">
        <v>2032</v>
      </c>
      <c r="K4" s="156">
        <v>2033</v>
      </c>
      <c r="L4" s="156">
        <v>2034</v>
      </c>
    </row>
    <row r="5" spans="2:12">
      <c r="B5" s="41" t="s">
        <v>207</v>
      </c>
      <c r="C5" s="103">
        <f t="shared" ref="C5:L5" si="0">C6</f>
        <v>1226880</v>
      </c>
      <c r="D5" s="103">
        <f t="shared" si="0"/>
        <v>1226880</v>
      </c>
      <c r="E5" s="103">
        <f t="shared" si="0"/>
        <v>1524096</v>
      </c>
      <c r="F5" s="103">
        <f t="shared" si="0"/>
        <v>1814400</v>
      </c>
      <c r="G5" s="103">
        <f t="shared" si="0"/>
        <v>2410560</v>
      </c>
      <c r="H5" s="103">
        <f t="shared" si="0"/>
        <v>2712960</v>
      </c>
      <c r="I5" s="103">
        <f t="shared" si="0"/>
        <v>2712960</v>
      </c>
      <c r="J5" s="103">
        <f t="shared" si="0"/>
        <v>2712960</v>
      </c>
      <c r="K5" s="103">
        <f t="shared" si="0"/>
        <v>2712960</v>
      </c>
      <c r="L5" s="103">
        <f t="shared" si="0"/>
        <v>2712960</v>
      </c>
    </row>
    <row r="6" spans="2:12">
      <c r="B6" s="157" t="s">
        <v>208</v>
      </c>
      <c r="C6" s="158">
        <f>Prihodi!C5</f>
        <v>1226880</v>
      </c>
      <c r="D6" s="158">
        <f>Prihodi!D5</f>
        <v>1226880</v>
      </c>
      <c r="E6" s="158">
        <f>Prihodi!E5</f>
        <v>1524096</v>
      </c>
      <c r="F6" s="158">
        <f>Prihodi!F5</f>
        <v>1814400</v>
      </c>
      <c r="G6" s="158">
        <f>Prihodi!G5</f>
        <v>2410560</v>
      </c>
      <c r="H6" s="158">
        <f>Prihodi!H5</f>
        <v>2712960</v>
      </c>
      <c r="I6" s="158">
        <f>Prihodi!I5</f>
        <v>2712960</v>
      </c>
      <c r="J6" s="158">
        <f>Prihodi!J5</f>
        <v>2712960</v>
      </c>
      <c r="K6" s="158">
        <f>Prihodi!K5</f>
        <v>2712960</v>
      </c>
      <c r="L6" s="158">
        <f>Prihodi!L5</f>
        <v>2712960</v>
      </c>
    </row>
    <row r="7" spans="2:12">
      <c r="B7" s="102" t="s">
        <v>209</v>
      </c>
      <c r="C7" s="159">
        <f t="shared" ref="C7:L7" si="1">SUM(C8:C11)</f>
        <v>1245161.9796</v>
      </c>
      <c r="D7" s="159">
        <f t="shared" si="1"/>
        <v>1245161.9796</v>
      </c>
      <c r="E7" s="159">
        <f t="shared" si="1"/>
        <v>1367485.9368</v>
      </c>
      <c r="F7" s="159">
        <f t="shared" si="1"/>
        <v>1489809.8939999999</v>
      </c>
      <c r="G7" s="159">
        <f t="shared" si="1"/>
        <v>1734457.8084</v>
      </c>
      <c r="H7" s="159">
        <f t="shared" si="1"/>
        <v>2064141.7656</v>
      </c>
      <c r="I7" s="159">
        <f t="shared" si="1"/>
        <v>2064141.7656</v>
      </c>
      <c r="J7" s="159">
        <f t="shared" si="1"/>
        <v>2064141.7656</v>
      </c>
      <c r="K7" s="159">
        <f t="shared" si="1"/>
        <v>2064141.7656</v>
      </c>
      <c r="L7" s="159">
        <f t="shared" si="1"/>
        <v>2064141.7656</v>
      </c>
    </row>
    <row r="8" spans="2:12">
      <c r="B8" s="157" t="s">
        <v>210</v>
      </c>
      <c r="C8" s="160">
        <f>SUM(Rashodi!C5,Rashodi!C7:C8)</f>
        <v>367407.35999999999</v>
      </c>
      <c r="D8" s="160">
        <f>SUM(Rashodi!D5,Rashodi!D7:D8)</f>
        <v>367407.35999999999</v>
      </c>
      <c r="E8" s="160">
        <f>SUM(Rashodi!E5,Rashodi!E7:E8)</f>
        <v>440888.83200000005</v>
      </c>
      <c r="F8" s="160">
        <f>SUM(Rashodi!F5,Rashodi!F7:F8)</f>
        <v>514370.30399999995</v>
      </c>
      <c r="G8" s="160">
        <f>SUM(Rashodi!G5,Rashodi!G7:G8)</f>
        <v>661333.24799999991</v>
      </c>
      <c r="H8" s="160">
        <f>SUM(Rashodi!H5,Rashodi!H7:H8)</f>
        <v>734814.71999999997</v>
      </c>
      <c r="I8" s="160">
        <f>SUM(Rashodi!I5,Rashodi!I7:I8)</f>
        <v>734814.71999999997</v>
      </c>
      <c r="J8" s="160">
        <f>SUM(Rashodi!J5,Rashodi!J7:J8)</f>
        <v>734814.71999999997</v>
      </c>
      <c r="K8" s="160">
        <f>SUM(Rashodi!K5,Rashodi!K7:K8)</f>
        <v>734814.71999999997</v>
      </c>
      <c r="L8" s="160">
        <f>SUM(Rashodi!L5,Rashodi!L7:L8)</f>
        <v>734814.71999999997</v>
      </c>
    </row>
    <row r="9" spans="2:12">
      <c r="B9" s="161" t="s">
        <v>211</v>
      </c>
      <c r="C9" s="160">
        <f>Rashodi!C9</f>
        <v>11219.193599999999</v>
      </c>
      <c r="D9" s="160">
        <f>Rashodi!D9</f>
        <v>11219.193599999999</v>
      </c>
      <c r="E9" s="160">
        <f>Rashodi!E9</f>
        <v>11219.193599999999</v>
      </c>
      <c r="F9" s="160">
        <f>Rashodi!F9</f>
        <v>11219.193599999999</v>
      </c>
      <c r="G9" s="160">
        <f>Rashodi!G9</f>
        <v>11219.193599999999</v>
      </c>
      <c r="H9" s="160">
        <f>Rashodi!H9</f>
        <v>11219.193599999999</v>
      </c>
      <c r="I9" s="160">
        <f>Rashodi!I9</f>
        <v>11219.193599999999</v>
      </c>
      <c r="J9" s="160">
        <f>Rashodi!J9</f>
        <v>11219.193599999999</v>
      </c>
      <c r="K9" s="160">
        <f>Rashodi!K9</f>
        <v>11219.193599999999</v>
      </c>
      <c r="L9" s="160">
        <f>Rashodi!L9</f>
        <v>11219.193599999999</v>
      </c>
    </row>
    <row r="10" spans="2:12">
      <c r="B10" s="162" t="s">
        <v>212</v>
      </c>
      <c r="C10" s="160">
        <f>SUM(Rashodi!C6,Rashodi!C10)</f>
        <v>498600</v>
      </c>
      <c r="D10" s="160">
        <f>SUM(Rashodi!D6,Rashodi!D10)</f>
        <v>498600</v>
      </c>
      <c r="E10" s="160">
        <f>SUM(Rashodi!E6,Rashodi!E10)</f>
        <v>498600</v>
      </c>
      <c r="F10" s="160">
        <f>SUM(Rashodi!F6,Rashodi!F10)</f>
        <v>498600</v>
      </c>
      <c r="G10" s="160">
        <f>SUM(Rashodi!G6,Rashodi!G10)</f>
        <v>498600</v>
      </c>
      <c r="H10" s="160">
        <f>SUM(Rashodi!H6,Rashodi!H10)</f>
        <v>705960</v>
      </c>
      <c r="I10" s="160">
        <f>SUM(Rashodi!I6,Rashodi!I10)</f>
        <v>705960</v>
      </c>
      <c r="J10" s="160">
        <f>SUM(Rashodi!J6,Rashodi!J10)</f>
        <v>705960</v>
      </c>
      <c r="K10" s="160">
        <f>SUM(Rashodi!K6,Rashodi!K10)</f>
        <v>705960</v>
      </c>
      <c r="L10" s="160">
        <f>SUM(Rashodi!L6,Rashodi!L10)</f>
        <v>705960</v>
      </c>
    </row>
    <row r="11" spans="2:12">
      <c r="B11" s="157" t="s">
        <v>213</v>
      </c>
      <c r="C11" s="160">
        <f>Plaće!C23</f>
        <v>367935.42599999998</v>
      </c>
      <c r="D11" s="160">
        <f>Plaće!D23</f>
        <v>367935.42599999998</v>
      </c>
      <c r="E11" s="160">
        <f>Plaće!E23</f>
        <v>416777.91119999997</v>
      </c>
      <c r="F11" s="160">
        <f>Plaće!F23</f>
        <v>465620.39639999997</v>
      </c>
      <c r="G11" s="160">
        <f>Plaće!G23</f>
        <v>563305.36679999996</v>
      </c>
      <c r="H11" s="160">
        <f>Plaće!H23</f>
        <v>612147.85199999996</v>
      </c>
      <c r="I11" s="160">
        <f>Plaće!I23</f>
        <v>612147.85199999996</v>
      </c>
      <c r="J11" s="160">
        <f>Plaće!J23</f>
        <v>612147.85199999996</v>
      </c>
      <c r="K11" s="160">
        <f>Plaće!K23</f>
        <v>612147.85199999996</v>
      </c>
      <c r="L11" s="160">
        <f>Plaće!L23</f>
        <v>612147.85199999996</v>
      </c>
    </row>
    <row r="12" spans="2:12">
      <c r="B12" s="102" t="s">
        <v>214</v>
      </c>
      <c r="C12" s="159">
        <f t="shared" ref="C12:L12" si="2">C5-C7</f>
        <v>-18281.979599999962</v>
      </c>
      <c r="D12" s="159">
        <f t="shared" si="2"/>
        <v>-18281.979599999962</v>
      </c>
      <c r="E12" s="159">
        <f t="shared" si="2"/>
        <v>156610.06319999998</v>
      </c>
      <c r="F12" s="159">
        <f t="shared" si="2"/>
        <v>324590.10600000015</v>
      </c>
      <c r="G12" s="159">
        <f t="shared" si="2"/>
        <v>676102.19160000002</v>
      </c>
      <c r="H12" s="159">
        <f t="shared" si="2"/>
        <v>648818.23439999996</v>
      </c>
      <c r="I12" s="159">
        <f t="shared" si="2"/>
        <v>648818.23439999996</v>
      </c>
      <c r="J12" s="159">
        <f t="shared" si="2"/>
        <v>648818.23439999996</v>
      </c>
      <c r="K12" s="159">
        <f t="shared" si="2"/>
        <v>648818.23439999996</v>
      </c>
      <c r="L12" s="159">
        <f t="shared" si="2"/>
        <v>648818.23439999996</v>
      </c>
    </row>
    <row r="13" spans="2:12">
      <c r="B13" s="163" t="s">
        <v>85</v>
      </c>
      <c r="C13" s="164">
        <f>'In + Am'!F38</f>
        <v>609960.63549999997</v>
      </c>
      <c r="D13" s="164">
        <f>'In + Am'!G38</f>
        <v>609960.63549999997</v>
      </c>
      <c r="E13" s="164">
        <f>'In + Am'!H38</f>
        <v>608630.86549999996</v>
      </c>
      <c r="F13" s="164">
        <f>'In + Am'!I38</f>
        <v>608630.86549999996</v>
      </c>
      <c r="G13" s="164">
        <f>'In + Am'!J38</f>
        <v>46851.200500000006</v>
      </c>
      <c r="H13" s="164">
        <f>'In + Am'!K38</f>
        <v>46851.200500000006</v>
      </c>
      <c r="I13" s="164">
        <f>'In + Am'!L38</f>
        <v>46851.200500000006</v>
      </c>
      <c r="J13" s="164">
        <f>'In + Am'!M38</f>
        <v>46851.200500000006</v>
      </c>
      <c r="K13" s="164">
        <f>'In + Am'!N38</f>
        <v>46851.200500000006</v>
      </c>
      <c r="L13" s="164">
        <f>'In + Am'!O38</f>
        <v>46851.200500000006</v>
      </c>
    </row>
    <row r="14" spans="2:12">
      <c r="B14" s="157" t="s">
        <v>198</v>
      </c>
      <c r="C14" s="160">
        <f>Kredit!C11</f>
        <v>18032.939987122529</v>
      </c>
      <c r="D14" s="160">
        <f>Kredit!D11</f>
        <v>16430.440498372347</v>
      </c>
      <c r="E14" s="160">
        <f>Kredit!E11</f>
        <v>14766.803582798064</v>
      </c>
      <c r="F14" s="160">
        <f>Kredit!F11</f>
        <v>13039.69676854249</v>
      </c>
      <c r="G14" s="160">
        <f>Kredit!G11</f>
        <v>11246.69859693221</v>
      </c>
      <c r="H14" s="160">
        <f>Kredit!H11</f>
        <v>9385.2952275155603</v>
      </c>
      <c r="I14" s="160">
        <f>Kredit!I11</f>
        <v>7452.8769135783286</v>
      </c>
      <c r="J14" s="160">
        <f>Kredit!J11</f>
        <v>5446.7343431959125</v>
      </c>
      <c r="K14" s="160">
        <f>Kredit!K11</f>
        <v>3364.0548406918365</v>
      </c>
      <c r="L14" s="160">
        <f>Kredit!L11</f>
        <v>1201.9184231770043</v>
      </c>
    </row>
    <row r="15" spans="2:12">
      <c r="B15" s="41" t="s">
        <v>215</v>
      </c>
      <c r="C15" s="103">
        <f t="shared" ref="C15:L15" si="3">C7+C13+C14</f>
        <v>1873155.5550871226</v>
      </c>
      <c r="D15" s="103">
        <f t="shared" si="3"/>
        <v>1871553.0555983724</v>
      </c>
      <c r="E15" s="103">
        <f t="shared" si="3"/>
        <v>1990883.6058827981</v>
      </c>
      <c r="F15" s="103">
        <f t="shared" si="3"/>
        <v>2111480.456268542</v>
      </c>
      <c r="G15" s="103">
        <f t="shared" si="3"/>
        <v>1792555.7074969322</v>
      </c>
      <c r="H15" s="103">
        <f t="shared" si="3"/>
        <v>2120378.2613275154</v>
      </c>
      <c r="I15" s="103">
        <f t="shared" si="3"/>
        <v>2118445.8430135781</v>
      </c>
      <c r="J15" s="103">
        <f t="shared" si="3"/>
        <v>2116439.7004431956</v>
      </c>
      <c r="K15" s="103">
        <f t="shared" si="3"/>
        <v>2114357.0209406917</v>
      </c>
      <c r="L15" s="103">
        <f t="shared" si="3"/>
        <v>2112194.8845231771</v>
      </c>
    </row>
    <row r="16" spans="2:12">
      <c r="B16" s="41" t="s">
        <v>216</v>
      </c>
      <c r="C16" s="103">
        <f t="shared" ref="C16:L16" si="4">C12-C13-C14</f>
        <v>-646275.55508712248</v>
      </c>
      <c r="D16" s="103">
        <f t="shared" si="4"/>
        <v>-644673.05559837224</v>
      </c>
      <c r="E16" s="103">
        <f t="shared" si="4"/>
        <v>-466787.60588279803</v>
      </c>
      <c r="F16" s="103">
        <f t="shared" si="4"/>
        <v>-297080.45626854233</v>
      </c>
      <c r="G16" s="103">
        <f t="shared" si="4"/>
        <v>618004.29250306776</v>
      </c>
      <c r="H16" s="103">
        <f t="shared" si="4"/>
        <v>592581.73867248441</v>
      </c>
      <c r="I16" s="103">
        <f t="shared" si="4"/>
        <v>594514.15698642156</v>
      </c>
      <c r="J16" s="103">
        <f t="shared" si="4"/>
        <v>596520.29955680401</v>
      </c>
      <c r="K16" s="103">
        <f t="shared" si="4"/>
        <v>598602.97905930807</v>
      </c>
      <c r="L16" s="103">
        <f t="shared" si="4"/>
        <v>600765.11547682295</v>
      </c>
    </row>
    <row r="17" spans="2:12">
      <c r="B17" s="157" t="s">
        <v>217</v>
      </c>
      <c r="C17" s="160">
        <f t="shared" ref="C17:L17" si="5">IF(C16&lt;0, 0, C16*$C$20)</f>
        <v>0</v>
      </c>
      <c r="D17" s="160">
        <f t="shared" si="5"/>
        <v>0</v>
      </c>
      <c r="E17" s="160">
        <f t="shared" si="5"/>
        <v>0</v>
      </c>
      <c r="F17" s="160">
        <f t="shared" si="5"/>
        <v>0</v>
      </c>
      <c r="G17" s="160">
        <f t="shared" si="5"/>
        <v>61800.429250306777</v>
      </c>
      <c r="H17" s="160">
        <f t="shared" si="5"/>
        <v>59258.173867248443</v>
      </c>
      <c r="I17" s="160">
        <f t="shared" si="5"/>
        <v>59451.415698642159</v>
      </c>
      <c r="J17" s="160">
        <f t="shared" si="5"/>
        <v>59652.029955680402</v>
      </c>
      <c r="K17" s="160">
        <f t="shared" si="5"/>
        <v>59860.297905930813</v>
      </c>
      <c r="L17" s="160">
        <f t="shared" si="5"/>
        <v>60076.511547682298</v>
      </c>
    </row>
    <row r="18" spans="2:12">
      <c r="B18" s="41" t="s">
        <v>218</v>
      </c>
      <c r="C18" s="103">
        <f t="shared" ref="C18:L18" si="6">C16-C17</f>
        <v>-646275.55508712248</v>
      </c>
      <c r="D18" s="103">
        <f t="shared" si="6"/>
        <v>-644673.05559837224</v>
      </c>
      <c r="E18" s="103">
        <f t="shared" si="6"/>
        <v>-466787.60588279803</v>
      </c>
      <c r="F18" s="103">
        <f t="shared" si="6"/>
        <v>-297080.45626854233</v>
      </c>
      <c r="G18" s="103">
        <f t="shared" si="6"/>
        <v>556203.86325276096</v>
      </c>
      <c r="H18" s="103">
        <f t="shared" si="6"/>
        <v>533323.56480523595</v>
      </c>
      <c r="I18" s="103">
        <f t="shared" si="6"/>
        <v>535062.74128777941</v>
      </c>
      <c r="J18" s="103">
        <f t="shared" si="6"/>
        <v>536868.26960112364</v>
      </c>
      <c r="K18" s="103">
        <f t="shared" si="6"/>
        <v>538742.68115337729</v>
      </c>
      <c r="L18" s="103">
        <f t="shared" si="6"/>
        <v>540688.60392914061</v>
      </c>
    </row>
    <row r="19" spans="2:12"/>
    <row r="20" spans="2:12">
      <c r="B20" s="67" t="s">
        <v>219</v>
      </c>
      <c r="C20" s="105">
        <v>0.1</v>
      </c>
    </row>
    <row r="21" spans="2:12"/>
    <row r="22" spans="2:12"/>
    <row r="23" spans="2:12"/>
    <row r="24" spans="2:12"/>
    <row r="25" spans="2:12"/>
    <row r="26" spans="2:12"/>
    <row r="27" spans="2:12"/>
    <row r="28" spans="2:12"/>
    <row r="29" spans="2:12"/>
    <row r="30" spans="2:12"/>
    <row r="31" spans="2:12"/>
    <row r="32" spans="2:1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mergeCells count="1">
    <mergeCell ref="B2:L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N30"/>
  <sheetViews>
    <sheetView workbookViewId="0"/>
  </sheetViews>
  <sheetFormatPr defaultColWidth="14.42578125" defaultRowHeight="15" customHeight="1"/>
  <cols>
    <col min="2" max="2" width="28.28515625" customWidth="1"/>
  </cols>
  <sheetData>
    <row r="2" spans="2:14">
      <c r="B2" s="251" t="s">
        <v>220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3"/>
    </row>
    <row r="3" spans="2:14">
      <c r="B3" s="254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55"/>
    </row>
    <row r="4" spans="2:14">
      <c r="B4" s="273" t="s">
        <v>221</v>
      </c>
      <c r="C4" s="274" t="s">
        <v>222</v>
      </c>
      <c r="D4" s="274" t="s">
        <v>223</v>
      </c>
      <c r="E4" s="277" t="s">
        <v>224</v>
      </c>
      <c r="F4" s="278"/>
      <c r="G4" s="278"/>
      <c r="H4" s="278"/>
      <c r="I4" s="278"/>
      <c r="J4" s="278"/>
      <c r="K4" s="278"/>
      <c r="L4" s="278"/>
      <c r="M4" s="278"/>
      <c r="N4" s="257"/>
    </row>
    <row r="5" spans="2:14">
      <c r="B5" s="250"/>
      <c r="C5" s="250"/>
      <c r="D5" s="250"/>
      <c r="E5" s="165">
        <v>2025</v>
      </c>
      <c r="F5" s="166">
        <v>2026</v>
      </c>
      <c r="G5" s="165">
        <v>2027</v>
      </c>
      <c r="H5" s="166">
        <v>2028</v>
      </c>
      <c r="I5" s="165">
        <v>2029</v>
      </c>
      <c r="J5" s="166">
        <v>2030</v>
      </c>
      <c r="K5" s="165">
        <v>2031</v>
      </c>
      <c r="L5" s="166">
        <v>2032</v>
      </c>
      <c r="M5" s="165">
        <v>2033</v>
      </c>
      <c r="N5" s="166">
        <v>2034</v>
      </c>
    </row>
    <row r="6" spans="2:14">
      <c r="B6" s="29" t="s">
        <v>225</v>
      </c>
      <c r="C6" s="94">
        <v>20</v>
      </c>
      <c r="D6" s="94">
        <f t="shared" ref="D6:D8" si="0">360/C6</f>
        <v>18</v>
      </c>
      <c r="E6" s="167">
        <f>RDG!C8</f>
        <v>367407.35999999999</v>
      </c>
      <c r="F6" s="167">
        <f>RDG!D8</f>
        <v>367407.35999999999</v>
      </c>
      <c r="G6" s="167">
        <f>RDG!E8</f>
        <v>440888.83200000005</v>
      </c>
      <c r="H6" s="167">
        <f>RDG!F8</f>
        <v>514370.30399999995</v>
      </c>
      <c r="I6" s="167">
        <f>RDG!G8</f>
        <v>661333.24799999991</v>
      </c>
      <c r="J6" s="167">
        <f>RDG!H8</f>
        <v>734814.71999999997</v>
      </c>
      <c r="K6" s="167">
        <f>RDG!I8</f>
        <v>734814.71999999997</v>
      </c>
      <c r="L6" s="167">
        <f>RDG!J8</f>
        <v>734814.71999999997</v>
      </c>
      <c r="M6" s="167">
        <f>RDG!K8</f>
        <v>734814.71999999997</v>
      </c>
      <c r="N6" s="167">
        <f>RDG!L8</f>
        <v>734814.71999999997</v>
      </c>
    </row>
    <row r="7" spans="2:14">
      <c r="B7" s="45" t="s">
        <v>226</v>
      </c>
      <c r="C7" s="94">
        <v>15</v>
      </c>
      <c r="D7" s="95">
        <f t="shared" si="0"/>
        <v>24</v>
      </c>
      <c r="E7" s="167">
        <f>RDG!C5</f>
        <v>1226880</v>
      </c>
      <c r="F7" s="167">
        <f>RDG!D5</f>
        <v>1226880</v>
      </c>
      <c r="G7" s="167">
        <f>RDG!E5</f>
        <v>1524096</v>
      </c>
      <c r="H7" s="167">
        <f>RDG!F5</f>
        <v>1814400</v>
      </c>
      <c r="I7" s="167">
        <f>RDG!G5</f>
        <v>2410560</v>
      </c>
      <c r="J7" s="167">
        <f>RDG!H5</f>
        <v>2712960</v>
      </c>
      <c r="K7" s="167">
        <f>RDG!I5</f>
        <v>2712960</v>
      </c>
      <c r="L7" s="167">
        <f>RDG!J5</f>
        <v>2712960</v>
      </c>
      <c r="M7" s="167">
        <f>RDG!K5</f>
        <v>2712960</v>
      </c>
      <c r="N7" s="167">
        <f>RDG!L5</f>
        <v>2712960</v>
      </c>
    </row>
    <row r="8" spans="2:14">
      <c r="B8" s="45" t="s">
        <v>227</v>
      </c>
      <c r="C8" s="94">
        <v>3</v>
      </c>
      <c r="D8" s="94">
        <f t="shared" si="0"/>
        <v>120</v>
      </c>
      <c r="E8" s="167">
        <f t="shared" ref="E8:N8" si="1">E7</f>
        <v>1226880</v>
      </c>
      <c r="F8" s="167">
        <f t="shared" si="1"/>
        <v>1226880</v>
      </c>
      <c r="G8" s="167">
        <f t="shared" si="1"/>
        <v>1524096</v>
      </c>
      <c r="H8" s="167">
        <f t="shared" si="1"/>
        <v>1814400</v>
      </c>
      <c r="I8" s="167">
        <f t="shared" si="1"/>
        <v>2410560</v>
      </c>
      <c r="J8" s="167">
        <f t="shared" si="1"/>
        <v>2712960</v>
      </c>
      <c r="K8" s="167">
        <f t="shared" si="1"/>
        <v>2712960</v>
      </c>
      <c r="L8" s="167">
        <f t="shared" si="1"/>
        <v>2712960</v>
      </c>
      <c r="M8" s="167">
        <f t="shared" si="1"/>
        <v>2712960</v>
      </c>
      <c r="N8" s="167">
        <f t="shared" si="1"/>
        <v>2712960</v>
      </c>
    </row>
    <row r="9" spans="2:14">
      <c r="B9" s="243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3"/>
    </row>
    <row r="10" spans="2:14">
      <c r="B10" s="45" t="s">
        <v>228</v>
      </c>
      <c r="C10" s="43">
        <v>30</v>
      </c>
      <c r="D10" s="43">
        <f t="shared" ref="D10:D13" si="2">360/C10</f>
        <v>12</v>
      </c>
      <c r="E10" s="44">
        <f>SUM(RDG!C8:C10)</f>
        <v>877226.55359999998</v>
      </c>
      <c r="F10" s="44">
        <f>SUM(RDG!D8:D10)</f>
        <v>877226.55359999998</v>
      </c>
      <c r="G10" s="44">
        <f>SUM(RDG!E8:E10)</f>
        <v>950708.02560000005</v>
      </c>
      <c r="H10" s="44">
        <f>SUM(RDG!F8:F10)</f>
        <v>1024189.4975999999</v>
      </c>
      <c r="I10" s="44">
        <f>SUM(RDG!G8:G10)</f>
        <v>1171152.4416</v>
      </c>
      <c r="J10" s="44">
        <f>SUM(RDG!H8:H10)</f>
        <v>1451993.9136000001</v>
      </c>
      <c r="K10" s="44">
        <f>SUM(RDG!I8:I10)</f>
        <v>1451993.9136000001</v>
      </c>
      <c r="L10" s="44">
        <f>SUM(RDG!J8:J10)</f>
        <v>1451993.9136000001</v>
      </c>
      <c r="M10" s="44">
        <f>SUM(RDG!K8:K10)</f>
        <v>1451993.9136000001</v>
      </c>
      <c r="N10" s="44">
        <f>SUM(RDG!L8:L10)</f>
        <v>1451993.9136000001</v>
      </c>
    </row>
    <row r="11" spans="2:14">
      <c r="B11" s="45" t="s">
        <v>229</v>
      </c>
      <c r="C11" s="43">
        <v>30</v>
      </c>
      <c r="D11" s="43">
        <f t="shared" si="2"/>
        <v>12</v>
      </c>
      <c r="E11" s="44">
        <f>RDG!C11</f>
        <v>367935.42599999998</v>
      </c>
      <c r="F11" s="44">
        <f>RDG!D11</f>
        <v>367935.42599999998</v>
      </c>
      <c r="G11" s="44">
        <f>RDG!E11</f>
        <v>416777.91119999997</v>
      </c>
      <c r="H11" s="44">
        <f>RDG!F11</f>
        <v>465620.39639999997</v>
      </c>
      <c r="I11" s="44">
        <f>RDG!G11</f>
        <v>563305.36679999996</v>
      </c>
      <c r="J11" s="44">
        <f>RDG!H11</f>
        <v>612147.85199999996</v>
      </c>
      <c r="K11" s="44">
        <f>RDG!I11</f>
        <v>612147.85199999996</v>
      </c>
      <c r="L11" s="44">
        <f>RDG!J11</f>
        <v>612147.85199999996</v>
      </c>
      <c r="M11" s="44">
        <f>RDG!K11</f>
        <v>612147.85199999996</v>
      </c>
      <c r="N11" s="44">
        <f>RDG!L11</f>
        <v>612147.85199999996</v>
      </c>
    </row>
    <row r="12" spans="2:14">
      <c r="B12" s="45" t="s">
        <v>230</v>
      </c>
      <c r="C12" s="43">
        <v>30</v>
      </c>
      <c r="D12" s="43">
        <f t="shared" si="2"/>
        <v>12</v>
      </c>
      <c r="E12" s="44">
        <f>RDG!C14</f>
        <v>18032.939987122529</v>
      </c>
      <c r="F12" s="44">
        <f>RDG!D14</f>
        <v>16430.440498372347</v>
      </c>
      <c r="G12" s="44">
        <f>RDG!E14</f>
        <v>14766.803582798064</v>
      </c>
      <c r="H12" s="44">
        <f>RDG!F14</f>
        <v>13039.69676854249</v>
      </c>
      <c r="I12" s="44">
        <f>RDG!G14</f>
        <v>11246.69859693221</v>
      </c>
      <c r="J12" s="44">
        <f>RDG!H14</f>
        <v>9385.2952275155603</v>
      </c>
      <c r="K12" s="44">
        <f>RDG!I14</f>
        <v>7452.8769135783286</v>
      </c>
      <c r="L12" s="44">
        <f>RDG!J14</f>
        <v>5446.7343431959125</v>
      </c>
      <c r="M12" s="44">
        <f>RDG!K14</f>
        <v>3364.0548406918365</v>
      </c>
      <c r="N12" s="44">
        <f>RDG!L14</f>
        <v>1201.9184231770043</v>
      </c>
    </row>
    <row r="13" spans="2:14">
      <c r="B13" s="45" t="s">
        <v>219</v>
      </c>
      <c r="C13" s="43">
        <v>30</v>
      </c>
      <c r="D13" s="43">
        <f t="shared" si="2"/>
        <v>12</v>
      </c>
      <c r="E13" s="44">
        <f>RDG!C17</f>
        <v>0</v>
      </c>
      <c r="F13" s="44">
        <f>RDG!D17</f>
        <v>0</v>
      </c>
      <c r="G13" s="44">
        <f>RDG!E17</f>
        <v>0</v>
      </c>
      <c r="H13" s="44">
        <f>RDG!F17</f>
        <v>0</v>
      </c>
      <c r="I13" s="44">
        <f>RDG!G17</f>
        <v>61800.429250306777</v>
      </c>
      <c r="J13" s="44">
        <f>RDG!H17</f>
        <v>59258.173867248443</v>
      </c>
      <c r="K13" s="44">
        <f>RDG!I17</f>
        <v>59451.415698642159</v>
      </c>
      <c r="L13" s="44">
        <f>RDG!J17</f>
        <v>59652.029955680402</v>
      </c>
      <c r="M13" s="44">
        <f>RDG!K17</f>
        <v>59860.297905930813</v>
      </c>
      <c r="N13" s="44">
        <f>RDG!L17</f>
        <v>60076.511547682298</v>
      </c>
    </row>
    <row r="16" spans="2:14">
      <c r="B16" s="251" t="s">
        <v>220</v>
      </c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3"/>
    </row>
    <row r="17" spans="2:14">
      <c r="B17" s="254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55"/>
    </row>
    <row r="18" spans="2:14">
      <c r="B18" s="273" t="s">
        <v>221</v>
      </c>
      <c r="C18" s="274" t="s">
        <v>222</v>
      </c>
      <c r="D18" s="274" t="s">
        <v>223</v>
      </c>
      <c r="E18" s="279" t="s">
        <v>231</v>
      </c>
      <c r="F18" s="278"/>
      <c r="G18" s="278"/>
      <c r="H18" s="278"/>
      <c r="I18" s="278"/>
      <c r="J18" s="278"/>
      <c r="K18" s="278"/>
      <c r="L18" s="278"/>
      <c r="M18" s="278"/>
      <c r="N18" s="257"/>
    </row>
    <row r="19" spans="2:14">
      <c r="B19" s="250"/>
      <c r="C19" s="250"/>
      <c r="D19" s="250"/>
      <c r="E19" s="165">
        <v>2025</v>
      </c>
      <c r="F19" s="166">
        <v>2026</v>
      </c>
      <c r="G19" s="165">
        <v>2027</v>
      </c>
      <c r="H19" s="166">
        <v>2028</v>
      </c>
      <c r="I19" s="165">
        <v>2029</v>
      </c>
      <c r="J19" s="166">
        <v>2030</v>
      </c>
      <c r="K19" s="165">
        <v>2031</v>
      </c>
      <c r="L19" s="166">
        <v>2032</v>
      </c>
      <c r="M19" s="165">
        <v>2033</v>
      </c>
      <c r="N19" s="166">
        <v>2034</v>
      </c>
    </row>
    <row r="20" spans="2:14">
      <c r="B20" s="29" t="s">
        <v>225</v>
      </c>
      <c r="C20" s="94">
        <f t="shared" ref="C20:C22" si="3">C6</f>
        <v>20</v>
      </c>
      <c r="D20" s="95">
        <f t="shared" ref="D20:D22" si="4">360/C20</f>
        <v>18</v>
      </c>
      <c r="E20" s="48">
        <f t="shared" ref="E20:N20" si="5">E6/$D$6</f>
        <v>20411.52</v>
      </c>
      <c r="F20" s="48">
        <f t="shared" si="5"/>
        <v>20411.52</v>
      </c>
      <c r="G20" s="48">
        <f t="shared" si="5"/>
        <v>24493.824000000004</v>
      </c>
      <c r="H20" s="48">
        <f t="shared" si="5"/>
        <v>28576.127999999997</v>
      </c>
      <c r="I20" s="48">
        <f t="shared" si="5"/>
        <v>36740.735999999997</v>
      </c>
      <c r="J20" s="48">
        <f t="shared" si="5"/>
        <v>40823.040000000001</v>
      </c>
      <c r="K20" s="48">
        <f t="shared" si="5"/>
        <v>40823.040000000001</v>
      </c>
      <c r="L20" s="48">
        <f t="shared" si="5"/>
        <v>40823.040000000001</v>
      </c>
      <c r="M20" s="48">
        <f t="shared" si="5"/>
        <v>40823.040000000001</v>
      </c>
      <c r="N20" s="48">
        <f t="shared" si="5"/>
        <v>40823.040000000001</v>
      </c>
    </row>
    <row r="21" spans="2:14">
      <c r="B21" s="45" t="s">
        <v>226</v>
      </c>
      <c r="C21" s="94">
        <f t="shared" si="3"/>
        <v>15</v>
      </c>
      <c r="D21" s="95">
        <f t="shared" si="4"/>
        <v>24</v>
      </c>
      <c r="E21" s="44">
        <f t="shared" ref="E21:N21" si="6">E7/$D$7</f>
        <v>51120</v>
      </c>
      <c r="F21" s="44">
        <f t="shared" si="6"/>
        <v>51120</v>
      </c>
      <c r="G21" s="44">
        <f t="shared" si="6"/>
        <v>63504</v>
      </c>
      <c r="H21" s="44">
        <f t="shared" si="6"/>
        <v>75600</v>
      </c>
      <c r="I21" s="44">
        <f t="shared" si="6"/>
        <v>100440</v>
      </c>
      <c r="J21" s="44">
        <f t="shared" si="6"/>
        <v>113040</v>
      </c>
      <c r="K21" s="44">
        <f t="shared" si="6"/>
        <v>113040</v>
      </c>
      <c r="L21" s="44">
        <f t="shared" si="6"/>
        <v>113040</v>
      </c>
      <c r="M21" s="44">
        <f t="shared" si="6"/>
        <v>113040</v>
      </c>
      <c r="N21" s="44">
        <f t="shared" si="6"/>
        <v>113040</v>
      </c>
    </row>
    <row r="22" spans="2:14">
      <c r="B22" s="45" t="s">
        <v>227</v>
      </c>
      <c r="C22" s="94">
        <f t="shared" si="3"/>
        <v>3</v>
      </c>
      <c r="D22" s="95">
        <f t="shared" si="4"/>
        <v>120</v>
      </c>
      <c r="E22" s="44">
        <f t="shared" ref="E22:N22" si="7">E8/$D$8</f>
        <v>10224</v>
      </c>
      <c r="F22" s="44">
        <f t="shared" si="7"/>
        <v>10224</v>
      </c>
      <c r="G22" s="44">
        <f t="shared" si="7"/>
        <v>12700.8</v>
      </c>
      <c r="H22" s="44">
        <f t="shared" si="7"/>
        <v>15120</v>
      </c>
      <c r="I22" s="44">
        <f t="shared" si="7"/>
        <v>20088</v>
      </c>
      <c r="J22" s="44">
        <f t="shared" si="7"/>
        <v>22608</v>
      </c>
      <c r="K22" s="44">
        <f t="shared" si="7"/>
        <v>22608</v>
      </c>
      <c r="L22" s="44">
        <f t="shared" si="7"/>
        <v>22608</v>
      </c>
      <c r="M22" s="44">
        <f t="shared" si="7"/>
        <v>22608</v>
      </c>
      <c r="N22" s="44">
        <f t="shared" si="7"/>
        <v>22608</v>
      </c>
    </row>
    <row r="23" spans="2:14">
      <c r="B23" s="275" t="s">
        <v>232</v>
      </c>
      <c r="C23" s="232"/>
      <c r="D23" s="233"/>
      <c r="E23" s="49">
        <f t="shared" ref="E23:N23" si="8">SUM(E20:E22)</f>
        <v>81755.520000000004</v>
      </c>
      <c r="F23" s="49">
        <f t="shared" si="8"/>
        <v>81755.520000000004</v>
      </c>
      <c r="G23" s="49">
        <f t="shared" si="8"/>
        <v>100698.62400000001</v>
      </c>
      <c r="H23" s="49">
        <f t="shared" si="8"/>
        <v>119296.128</v>
      </c>
      <c r="I23" s="49">
        <f t="shared" si="8"/>
        <v>157268.736</v>
      </c>
      <c r="J23" s="49">
        <f t="shared" si="8"/>
        <v>176471.04000000001</v>
      </c>
      <c r="K23" s="49">
        <f t="shared" si="8"/>
        <v>176471.04000000001</v>
      </c>
      <c r="L23" s="49">
        <f t="shared" si="8"/>
        <v>176471.04000000001</v>
      </c>
      <c r="M23" s="49">
        <f t="shared" si="8"/>
        <v>176471.04000000001</v>
      </c>
      <c r="N23" s="49">
        <f t="shared" si="8"/>
        <v>176471.04000000001</v>
      </c>
    </row>
    <row r="24" spans="2:14">
      <c r="B24" s="45" t="s">
        <v>228</v>
      </c>
      <c r="C24" s="43">
        <f t="shared" ref="C24:C27" si="9">C10</f>
        <v>30</v>
      </c>
      <c r="D24" s="43">
        <f t="shared" ref="D24:D27" si="10">360/C24</f>
        <v>12</v>
      </c>
      <c r="E24" s="44">
        <f t="shared" ref="E24:N24" si="11">E10/$D$10</f>
        <v>73102.212799999994</v>
      </c>
      <c r="F24" s="44">
        <f t="shared" si="11"/>
        <v>73102.212799999994</v>
      </c>
      <c r="G24" s="44">
        <f t="shared" si="11"/>
        <v>79225.668799999999</v>
      </c>
      <c r="H24" s="44">
        <f t="shared" si="11"/>
        <v>85349.124799999991</v>
      </c>
      <c r="I24" s="44">
        <f t="shared" si="11"/>
        <v>97596.036800000002</v>
      </c>
      <c r="J24" s="44">
        <f t="shared" si="11"/>
        <v>120999.49280000001</v>
      </c>
      <c r="K24" s="44">
        <f t="shared" si="11"/>
        <v>120999.49280000001</v>
      </c>
      <c r="L24" s="44">
        <f t="shared" si="11"/>
        <v>120999.49280000001</v>
      </c>
      <c r="M24" s="44">
        <f t="shared" si="11"/>
        <v>120999.49280000001</v>
      </c>
      <c r="N24" s="44">
        <f t="shared" si="11"/>
        <v>120999.49280000001</v>
      </c>
    </row>
    <row r="25" spans="2:14">
      <c r="B25" s="45" t="s">
        <v>229</v>
      </c>
      <c r="C25" s="43">
        <f t="shared" si="9"/>
        <v>30</v>
      </c>
      <c r="D25" s="43">
        <f t="shared" si="10"/>
        <v>12</v>
      </c>
      <c r="E25" s="44">
        <f t="shared" ref="E25:N25" si="12">E11/$D$11</f>
        <v>30661.285499999998</v>
      </c>
      <c r="F25" s="44">
        <f t="shared" si="12"/>
        <v>30661.285499999998</v>
      </c>
      <c r="G25" s="44">
        <f t="shared" si="12"/>
        <v>34731.492599999998</v>
      </c>
      <c r="H25" s="44">
        <f t="shared" si="12"/>
        <v>38801.699699999997</v>
      </c>
      <c r="I25" s="44">
        <f t="shared" si="12"/>
        <v>46942.113899999997</v>
      </c>
      <c r="J25" s="44">
        <f t="shared" si="12"/>
        <v>51012.320999999996</v>
      </c>
      <c r="K25" s="44">
        <f t="shared" si="12"/>
        <v>51012.320999999996</v>
      </c>
      <c r="L25" s="44">
        <f t="shared" si="12"/>
        <v>51012.320999999996</v>
      </c>
      <c r="M25" s="44">
        <f t="shared" si="12"/>
        <v>51012.320999999996</v>
      </c>
      <c r="N25" s="44">
        <f t="shared" si="12"/>
        <v>51012.320999999996</v>
      </c>
    </row>
    <row r="26" spans="2:14">
      <c r="B26" s="45" t="s">
        <v>230</v>
      </c>
      <c r="C26" s="43">
        <f t="shared" si="9"/>
        <v>30</v>
      </c>
      <c r="D26" s="43">
        <f t="shared" si="10"/>
        <v>12</v>
      </c>
      <c r="E26" s="44">
        <f t="shared" ref="E26:N26" si="13">E12/$D$12</f>
        <v>1502.7449989268773</v>
      </c>
      <c r="F26" s="44">
        <f t="shared" si="13"/>
        <v>1369.2033748643623</v>
      </c>
      <c r="G26" s="44">
        <f t="shared" si="13"/>
        <v>1230.5669652331719</v>
      </c>
      <c r="H26" s="44">
        <f t="shared" si="13"/>
        <v>1086.6413973785409</v>
      </c>
      <c r="I26" s="44">
        <f t="shared" si="13"/>
        <v>937.22488307768424</v>
      </c>
      <c r="J26" s="44">
        <f t="shared" si="13"/>
        <v>782.10793562629669</v>
      </c>
      <c r="K26" s="44">
        <f t="shared" si="13"/>
        <v>621.07307613152739</v>
      </c>
      <c r="L26" s="44">
        <f t="shared" si="13"/>
        <v>453.8945285996594</v>
      </c>
      <c r="M26" s="44">
        <f t="shared" si="13"/>
        <v>280.33790339098636</v>
      </c>
      <c r="N26" s="44">
        <f t="shared" si="13"/>
        <v>100.15986859808369</v>
      </c>
    </row>
    <row r="27" spans="2:14">
      <c r="B27" s="45" t="s">
        <v>219</v>
      </c>
      <c r="C27" s="43">
        <f t="shared" si="9"/>
        <v>30</v>
      </c>
      <c r="D27" s="43">
        <f t="shared" si="10"/>
        <v>12</v>
      </c>
      <c r="E27" s="44">
        <f t="shared" ref="E27:N27" si="14">E13/$D$13</f>
        <v>0</v>
      </c>
      <c r="F27" s="44">
        <f t="shared" si="14"/>
        <v>0</v>
      </c>
      <c r="G27" s="44">
        <f t="shared" si="14"/>
        <v>0</v>
      </c>
      <c r="H27" s="44">
        <f t="shared" si="14"/>
        <v>0</v>
      </c>
      <c r="I27" s="44">
        <f t="shared" si="14"/>
        <v>5150.0357708588981</v>
      </c>
      <c r="J27" s="44">
        <f t="shared" si="14"/>
        <v>4938.1811556040366</v>
      </c>
      <c r="K27" s="44">
        <f t="shared" si="14"/>
        <v>4954.2846415535132</v>
      </c>
      <c r="L27" s="44">
        <f t="shared" si="14"/>
        <v>4971.0024963066999</v>
      </c>
      <c r="M27" s="44">
        <f t="shared" si="14"/>
        <v>4988.3581588275674</v>
      </c>
      <c r="N27" s="44">
        <f t="shared" si="14"/>
        <v>5006.3759623068581</v>
      </c>
    </row>
    <row r="28" spans="2:14">
      <c r="B28" s="276" t="s">
        <v>233</v>
      </c>
      <c r="C28" s="232"/>
      <c r="D28" s="233"/>
      <c r="E28" s="49">
        <f t="shared" ref="E28:N28" si="15">SUM(E24:E27)</f>
        <v>105266.24329892687</v>
      </c>
      <c r="F28" s="49">
        <f t="shared" si="15"/>
        <v>105132.70167486435</v>
      </c>
      <c r="G28" s="49">
        <f t="shared" si="15"/>
        <v>115187.72836523317</v>
      </c>
      <c r="H28" s="49">
        <f t="shared" si="15"/>
        <v>125237.46589737853</v>
      </c>
      <c r="I28" s="49">
        <f t="shared" si="15"/>
        <v>150625.41135393659</v>
      </c>
      <c r="J28" s="49">
        <f t="shared" si="15"/>
        <v>177732.10289123034</v>
      </c>
      <c r="K28" s="49">
        <f t="shared" si="15"/>
        <v>177587.17151768503</v>
      </c>
      <c r="L28" s="49">
        <f t="shared" si="15"/>
        <v>177436.71082490636</v>
      </c>
      <c r="M28" s="49">
        <f t="shared" si="15"/>
        <v>177280.50986221855</v>
      </c>
      <c r="N28" s="49">
        <f t="shared" si="15"/>
        <v>177118.34963090494</v>
      </c>
    </row>
    <row r="29" spans="2:14">
      <c r="B29" s="276" t="s">
        <v>234</v>
      </c>
      <c r="C29" s="232"/>
      <c r="D29" s="233"/>
      <c r="E29" s="49">
        <f t="shared" ref="E29:N29" si="16">E23-E28</f>
        <v>-23510.723298926867</v>
      </c>
      <c r="F29" s="49">
        <f t="shared" si="16"/>
        <v>-23377.181674864347</v>
      </c>
      <c r="G29" s="49">
        <f t="shared" si="16"/>
        <v>-14489.104365233157</v>
      </c>
      <c r="H29" s="49">
        <f t="shared" si="16"/>
        <v>-5941.3378973785293</v>
      </c>
      <c r="I29" s="49">
        <f t="shared" si="16"/>
        <v>6643.3246460634109</v>
      </c>
      <c r="J29" s="49">
        <f t="shared" si="16"/>
        <v>-1261.0628912303364</v>
      </c>
      <c r="K29" s="49">
        <f t="shared" si="16"/>
        <v>-1116.1315176850185</v>
      </c>
      <c r="L29" s="49">
        <f t="shared" si="16"/>
        <v>-965.67082490635221</v>
      </c>
      <c r="M29" s="49">
        <f t="shared" si="16"/>
        <v>-809.46986221853876</v>
      </c>
      <c r="N29" s="49">
        <f t="shared" si="16"/>
        <v>-647.30963090492878</v>
      </c>
    </row>
    <row r="30" spans="2:14">
      <c r="B30" s="276" t="s">
        <v>235</v>
      </c>
      <c r="C30" s="232"/>
      <c r="D30" s="233"/>
      <c r="E30" s="49">
        <f>E29-0</f>
        <v>-23510.723298926867</v>
      </c>
      <c r="F30" s="49">
        <f t="shared" ref="F30:N30" si="17">F29-E29</f>
        <v>133.54162406251999</v>
      </c>
      <c r="G30" s="49">
        <f t="shared" si="17"/>
        <v>8888.0773096311896</v>
      </c>
      <c r="H30" s="49">
        <f t="shared" si="17"/>
        <v>8547.766467854628</v>
      </c>
      <c r="I30" s="49">
        <f t="shared" si="17"/>
        <v>12584.66254344194</v>
      </c>
      <c r="J30" s="49">
        <f t="shared" si="17"/>
        <v>-7904.3875372937473</v>
      </c>
      <c r="K30" s="49">
        <f t="shared" si="17"/>
        <v>144.93137354531791</v>
      </c>
      <c r="L30" s="49">
        <f t="shared" si="17"/>
        <v>150.46069277866627</v>
      </c>
      <c r="M30" s="49">
        <f t="shared" si="17"/>
        <v>156.20096268781344</v>
      </c>
      <c r="N30" s="49">
        <f t="shared" si="17"/>
        <v>162.16023131360998</v>
      </c>
    </row>
  </sheetData>
  <mergeCells count="15">
    <mergeCell ref="B9:N9"/>
    <mergeCell ref="B16:N17"/>
    <mergeCell ref="E18:N18"/>
    <mergeCell ref="B2:N3"/>
    <mergeCell ref="B4:B5"/>
    <mergeCell ref="C4:C5"/>
    <mergeCell ref="D4:D5"/>
    <mergeCell ref="E4:N4"/>
    <mergeCell ref="B18:B19"/>
    <mergeCell ref="C18:C19"/>
    <mergeCell ref="D18:D19"/>
    <mergeCell ref="B23:D23"/>
    <mergeCell ref="B30:D30"/>
    <mergeCell ref="B28:D28"/>
    <mergeCell ref="B29:D2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M51"/>
  <sheetViews>
    <sheetView workbookViewId="0"/>
  </sheetViews>
  <sheetFormatPr defaultColWidth="14.42578125" defaultRowHeight="15" customHeight="1"/>
  <cols>
    <col min="2" max="2" width="45.28515625" customWidth="1"/>
  </cols>
  <sheetData>
    <row r="2" spans="2:13">
      <c r="B2" s="251" t="s">
        <v>236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3"/>
    </row>
    <row r="3" spans="2:13" ht="15" customHeight="1">
      <c r="B3" s="259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1"/>
    </row>
    <row r="4" spans="2:13">
      <c r="B4" s="280" t="s">
        <v>206</v>
      </c>
      <c r="C4" s="123">
        <v>2024</v>
      </c>
      <c r="D4" s="123">
        <v>2025</v>
      </c>
      <c r="E4" s="123">
        <v>2026</v>
      </c>
      <c r="F4" s="123">
        <v>2027</v>
      </c>
      <c r="G4" s="123">
        <v>2028</v>
      </c>
      <c r="H4" s="123">
        <v>2029</v>
      </c>
      <c r="I4" s="123">
        <v>2030</v>
      </c>
      <c r="J4" s="123">
        <v>2031</v>
      </c>
      <c r="K4" s="123">
        <v>2032</v>
      </c>
      <c r="L4" s="123">
        <v>2033</v>
      </c>
      <c r="M4" s="123">
        <v>2034</v>
      </c>
    </row>
    <row r="5" spans="2:13">
      <c r="B5" s="250"/>
      <c r="C5" s="168">
        <v>0</v>
      </c>
      <c r="D5" s="168">
        <v>1</v>
      </c>
      <c r="E5" s="168">
        <v>2</v>
      </c>
      <c r="F5" s="168">
        <v>3</v>
      </c>
      <c r="G5" s="168">
        <v>4</v>
      </c>
      <c r="H5" s="168">
        <v>5</v>
      </c>
      <c r="I5" s="168">
        <v>6</v>
      </c>
      <c r="J5" s="168">
        <v>7</v>
      </c>
      <c r="K5" s="168">
        <v>8</v>
      </c>
      <c r="L5" s="168">
        <v>9</v>
      </c>
      <c r="M5" s="168">
        <v>10</v>
      </c>
    </row>
    <row r="6" spans="2:13">
      <c r="B6" s="169" t="s">
        <v>237</v>
      </c>
      <c r="C6" s="170">
        <f t="shared" ref="C6:M6" si="0">SUM(C7:C8)</f>
        <v>0</v>
      </c>
      <c r="D6" s="170">
        <f t="shared" si="0"/>
        <v>1226880</v>
      </c>
      <c r="E6" s="170">
        <f t="shared" si="0"/>
        <v>1226880</v>
      </c>
      <c r="F6" s="170">
        <f t="shared" si="0"/>
        <v>1524096</v>
      </c>
      <c r="G6" s="170">
        <f t="shared" si="0"/>
        <v>1814400</v>
      </c>
      <c r="H6" s="170">
        <f t="shared" si="0"/>
        <v>2410560</v>
      </c>
      <c r="I6" s="170">
        <f t="shared" si="0"/>
        <v>2712960</v>
      </c>
      <c r="J6" s="170">
        <f t="shared" si="0"/>
        <v>2712960</v>
      </c>
      <c r="K6" s="170">
        <f t="shared" si="0"/>
        <v>2712960</v>
      </c>
      <c r="L6" s="170">
        <f t="shared" si="0"/>
        <v>2712960</v>
      </c>
      <c r="M6" s="170">
        <f t="shared" si="0"/>
        <v>3180824.6953690946</v>
      </c>
    </row>
    <row r="7" spans="2:13">
      <c r="B7" s="171" t="s">
        <v>238</v>
      </c>
      <c r="C7" s="172"/>
      <c r="D7" s="172">
        <f>RDG!C5</f>
        <v>1226880</v>
      </c>
      <c r="E7" s="172">
        <f>RDG!D5</f>
        <v>1226880</v>
      </c>
      <c r="F7" s="172">
        <f>RDG!E5</f>
        <v>1524096</v>
      </c>
      <c r="G7" s="172">
        <f>RDG!F5</f>
        <v>1814400</v>
      </c>
      <c r="H7" s="172">
        <f>RDG!G5</f>
        <v>2410560</v>
      </c>
      <c r="I7" s="172">
        <f>RDG!H5</f>
        <v>2712960</v>
      </c>
      <c r="J7" s="172">
        <f>RDG!I5</f>
        <v>2712960</v>
      </c>
      <c r="K7" s="172">
        <f>RDG!J5</f>
        <v>2712960</v>
      </c>
      <c r="L7" s="172">
        <f>RDG!K5</f>
        <v>2712960</v>
      </c>
      <c r="M7" s="172">
        <f>RDG!L5</f>
        <v>2712960</v>
      </c>
    </row>
    <row r="8" spans="2:13">
      <c r="B8" s="171" t="s">
        <v>239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>
        <f>SUM(M9:M10)</f>
        <v>467864.69536909484</v>
      </c>
    </row>
    <row r="9" spans="2:13">
      <c r="B9" s="173" t="s">
        <v>240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>
        <f>'In + Am'!Q40</f>
        <v>468512.00499999977</v>
      </c>
    </row>
    <row r="10" spans="2:13">
      <c r="B10" s="171" t="s">
        <v>241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>
        <f>TOBS!N29</f>
        <v>-647.30963090492878</v>
      </c>
    </row>
    <row r="11" spans="2:13">
      <c r="B11" s="169" t="s">
        <v>242</v>
      </c>
      <c r="C11" s="170">
        <f t="shared" ref="C11:M11" si="1">SUM(C12:C16)</f>
        <v>3186802.2099999995</v>
      </c>
      <c r="D11" s="170">
        <f t="shared" si="1"/>
        <v>1221651.2563010731</v>
      </c>
      <c r="E11" s="170">
        <f t="shared" si="1"/>
        <v>1245295.5212240624</v>
      </c>
      <c r="F11" s="170">
        <f t="shared" si="1"/>
        <v>1376374.0141096311</v>
      </c>
      <c r="G11" s="170">
        <f t="shared" si="1"/>
        <v>1498357.6604678545</v>
      </c>
      <c r="H11" s="170">
        <f t="shared" si="1"/>
        <v>1808842.9001937485</v>
      </c>
      <c r="I11" s="170">
        <f t="shared" si="1"/>
        <v>2115495.5519299544</v>
      </c>
      <c r="J11" s="170">
        <f t="shared" si="1"/>
        <v>2123738.1126721879</v>
      </c>
      <c r="K11" s="170">
        <f t="shared" si="1"/>
        <v>2123944.2562484592</v>
      </c>
      <c r="L11" s="170">
        <f t="shared" si="1"/>
        <v>2124158.2644686187</v>
      </c>
      <c r="M11" s="170">
        <f t="shared" si="1"/>
        <v>2124380.4373789961</v>
      </c>
    </row>
    <row r="12" spans="2:13">
      <c r="B12" s="173" t="s">
        <v>243</v>
      </c>
      <c r="C12" s="174">
        <f>'In + Am'!D12</f>
        <v>3186802.2099999995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</row>
    <row r="13" spans="2:13">
      <c r="B13" s="171" t="s">
        <v>244</v>
      </c>
      <c r="C13" s="172">
        <v>0</v>
      </c>
      <c r="D13" s="172">
        <f>TOBS!E29</f>
        <v>-23510.723298926867</v>
      </c>
      <c r="E13" s="172">
        <f>TOBS!F29-TOBS!E29</f>
        <v>133.54162406251999</v>
      </c>
      <c r="F13" s="172">
        <f>TOBS!G29-TOBS!F29</f>
        <v>8888.0773096311896</v>
      </c>
      <c r="G13" s="172">
        <f>TOBS!H29-TOBS!G29</f>
        <v>8547.766467854628</v>
      </c>
      <c r="H13" s="172">
        <f>TOBS!I29-TOBS!H29</f>
        <v>12584.66254344194</v>
      </c>
      <c r="I13" s="172">
        <f>TOBS!J29-TOBS!I29</f>
        <v>-7904.3875372937473</v>
      </c>
      <c r="J13" s="172">
        <f>TOBS!K29-TOBS!J29</f>
        <v>144.93137354531791</v>
      </c>
      <c r="K13" s="172">
        <f>TOBS!L29-TOBS!K29</f>
        <v>150.46069277866627</v>
      </c>
      <c r="L13" s="172">
        <f>TOBS!M29-TOBS!L29</f>
        <v>156.20096268781344</v>
      </c>
      <c r="M13" s="172">
        <f>TOBS!N29-TOBS!M29</f>
        <v>162.16023131360998</v>
      </c>
    </row>
    <row r="14" spans="2:13">
      <c r="B14" s="171" t="s">
        <v>245</v>
      </c>
      <c r="C14" s="172"/>
      <c r="D14" s="172">
        <f>SUM(RDG!C8:C10)</f>
        <v>877226.55359999998</v>
      </c>
      <c r="E14" s="172">
        <f>SUM(RDG!D8:D10)</f>
        <v>877226.55359999998</v>
      </c>
      <c r="F14" s="172">
        <f>SUM(RDG!E8:E10)</f>
        <v>950708.02560000005</v>
      </c>
      <c r="G14" s="172">
        <f>SUM(RDG!F8:F10)</f>
        <v>1024189.4975999999</v>
      </c>
      <c r="H14" s="172">
        <f>SUM(RDG!G8:G10)</f>
        <v>1171152.4416</v>
      </c>
      <c r="I14" s="172">
        <f>SUM(RDG!H8:H10)</f>
        <v>1451993.9136000001</v>
      </c>
      <c r="J14" s="172">
        <f>SUM(RDG!I8:I10)</f>
        <v>1451993.9136000001</v>
      </c>
      <c r="K14" s="172">
        <f>SUM(RDG!J8:J10)</f>
        <v>1451993.9136000001</v>
      </c>
      <c r="L14" s="172">
        <f>SUM(RDG!K8:K10)</f>
        <v>1451993.9136000001</v>
      </c>
      <c r="M14" s="172">
        <f>SUM(RDG!L8:L10)</f>
        <v>1451993.9136000001</v>
      </c>
    </row>
    <row r="15" spans="2:13">
      <c r="B15" s="171" t="s">
        <v>246</v>
      </c>
      <c r="C15" s="172"/>
      <c r="D15" s="172">
        <f>RDG!C11</f>
        <v>367935.42599999998</v>
      </c>
      <c r="E15" s="172">
        <f>RDG!D11</f>
        <v>367935.42599999998</v>
      </c>
      <c r="F15" s="172">
        <f>RDG!E11</f>
        <v>416777.91119999997</v>
      </c>
      <c r="G15" s="172">
        <f>RDG!F11</f>
        <v>465620.39639999997</v>
      </c>
      <c r="H15" s="172">
        <f>RDG!G11</f>
        <v>563305.36679999996</v>
      </c>
      <c r="I15" s="172">
        <f>RDG!H11</f>
        <v>612147.85199999996</v>
      </c>
      <c r="J15" s="172">
        <f>RDG!I11</f>
        <v>612147.85199999996</v>
      </c>
      <c r="K15" s="172">
        <f>RDG!J11</f>
        <v>612147.85199999996</v>
      </c>
      <c r="L15" s="172">
        <f>RDG!K11</f>
        <v>612147.85199999996</v>
      </c>
      <c r="M15" s="172">
        <f>RDG!L11</f>
        <v>612147.85199999996</v>
      </c>
    </row>
    <row r="16" spans="2:13">
      <c r="B16" s="171" t="s">
        <v>247</v>
      </c>
      <c r="C16" s="172"/>
      <c r="D16" s="172">
        <f>RDG!C17</f>
        <v>0</v>
      </c>
      <c r="E16" s="172">
        <f>RDG!D17</f>
        <v>0</v>
      </c>
      <c r="F16" s="172">
        <f>RDG!E17</f>
        <v>0</v>
      </c>
      <c r="G16" s="172">
        <f>RDG!F17</f>
        <v>0</v>
      </c>
      <c r="H16" s="172">
        <f>RDG!G17</f>
        <v>61800.429250306777</v>
      </c>
      <c r="I16" s="172">
        <f>RDG!H17</f>
        <v>59258.173867248443</v>
      </c>
      <c r="J16" s="172">
        <f>RDG!I17</f>
        <v>59451.415698642159</v>
      </c>
      <c r="K16" s="172">
        <f>RDG!J17</f>
        <v>59652.029955680402</v>
      </c>
      <c r="L16" s="172">
        <f>RDG!K17</f>
        <v>59860.297905930813</v>
      </c>
      <c r="M16" s="172">
        <f>RDG!L17</f>
        <v>60076.511547682298</v>
      </c>
    </row>
    <row r="17" spans="2:13">
      <c r="B17" s="169" t="s">
        <v>248</v>
      </c>
      <c r="C17" s="170">
        <f t="shared" ref="C17:M17" si="2">C6-C11</f>
        <v>-3186802.2099999995</v>
      </c>
      <c r="D17" s="170">
        <f t="shared" si="2"/>
        <v>5228.7436989268754</v>
      </c>
      <c r="E17" s="170">
        <f t="shared" si="2"/>
        <v>-18415.521224062424</v>
      </c>
      <c r="F17" s="170">
        <f t="shared" si="2"/>
        <v>147721.98589036893</v>
      </c>
      <c r="G17" s="170">
        <f t="shared" si="2"/>
        <v>316042.33953214553</v>
      </c>
      <c r="H17" s="170">
        <f t="shared" si="2"/>
        <v>601717.09980625147</v>
      </c>
      <c r="I17" s="170">
        <f t="shared" si="2"/>
        <v>597464.44807004556</v>
      </c>
      <c r="J17" s="170">
        <f t="shared" si="2"/>
        <v>589221.88732781215</v>
      </c>
      <c r="K17" s="170">
        <f t="shared" si="2"/>
        <v>589015.74375154078</v>
      </c>
      <c r="L17" s="170">
        <f t="shared" si="2"/>
        <v>588801.73553138133</v>
      </c>
      <c r="M17" s="170">
        <f t="shared" si="2"/>
        <v>1056444.2579900986</v>
      </c>
    </row>
    <row r="18" spans="2:13">
      <c r="B18" s="64" t="s">
        <v>249</v>
      </c>
      <c r="C18" s="85">
        <f>C17</f>
        <v>-3186802.2099999995</v>
      </c>
      <c r="D18" s="85">
        <f t="shared" ref="D18:M18" si="3">C18+D17</f>
        <v>-3181573.4663010724</v>
      </c>
      <c r="E18" s="85">
        <f t="shared" si="3"/>
        <v>-3199988.9875251348</v>
      </c>
      <c r="F18" s="85">
        <f t="shared" si="3"/>
        <v>-3052267.0016347659</v>
      </c>
      <c r="G18" s="85">
        <f t="shared" si="3"/>
        <v>-2736224.6621026201</v>
      </c>
      <c r="H18" s="85">
        <f t="shared" si="3"/>
        <v>-2134507.5622963686</v>
      </c>
      <c r="I18" s="85">
        <f t="shared" si="3"/>
        <v>-1537043.1142263231</v>
      </c>
      <c r="J18" s="85">
        <f t="shared" si="3"/>
        <v>-947821.22689851094</v>
      </c>
      <c r="K18" s="85">
        <f t="shared" si="3"/>
        <v>-358805.48314697016</v>
      </c>
      <c r="L18" s="85">
        <f t="shared" si="3"/>
        <v>229996.25238441117</v>
      </c>
      <c r="M18" s="85">
        <f t="shared" si="3"/>
        <v>1286440.5103745097</v>
      </c>
    </row>
    <row r="21" spans="2:13">
      <c r="B21" s="251" t="s">
        <v>250</v>
      </c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3"/>
    </row>
    <row r="22" spans="2:13">
      <c r="B22" s="254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55"/>
    </row>
    <row r="23" spans="2:13">
      <c r="B23" s="280" t="s">
        <v>107</v>
      </c>
      <c r="C23" s="123">
        <v>2024</v>
      </c>
      <c r="D23" s="123">
        <v>2025</v>
      </c>
      <c r="E23" s="123">
        <v>2026</v>
      </c>
      <c r="F23" s="123">
        <v>2027</v>
      </c>
      <c r="G23" s="123">
        <v>2028</v>
      </c>
      <c r="H23" s="123">
        <v>2029</v>
      </c>
      <c r="I23" s="123">
        <v>2030</v>
      </c>
      <c r="J23" s="123">
        <v>2031</v>
      </c>
      <c r="K23" s="123">
        <v>2032</v>
      </c>
      <c r="L23" s="123">
        <v>2033</v>
      </c>
      <c r="M23" s="123">
        <v>2034</v>
      </c>
    </row>
    <row r="24" spans="2:13">
      <c r="B24" s="250"/>
      <c r="C24" s="168">
        <v>0</v>
      </c>
      <c r="D24" s="168">
        <v>1</v>
      </c>
      <c r="E24" s="168">
        <v>2</v>
      </c>
      <c r="F24" s="168">
        <v>3</v>
      </c>
      <c r="G24" s="168">
        <v>4</v>
      </c>
      <c r="H24" s="168">
        <v>5</v>
      </c>
      <c r="I24" s="168">
        <v>6</v>
      </c>
      <c r="J24" s="168">
        <v>7</v>
      </c>
      <c r="K24" s="168">
        <v>8</v>
      </c>
      <c r="L24" s="168">
        <v>9</v>
      </c>
      <c r="M24" s="168">
        <v>10</v>
      </c>
    </row>
    <row r="25" spans="2:13">
      <c r="B25" s="104" t="s">
        <v>251</v>
      </c>
      <c r="C25" s="82">
        <f t="shared" ref="C25:M25" si="4">C17*1/(1+$C$28)^C24</f>
        <v>-3186802.2099999995</v>
      </c>
      <c r="D25" s="82">
        <f t="shared" si="4"/>
        <v>5039.7529628210841</v>
      </c>
      <c r="E25" s="82">
        <f t="shared" si="4"/>
        <v>-17108.33732530113</v>
      </c>
      <c r="F25" s="82">
        <f t="shared" si="4"/>
        <v>132275.92928112895</v>
      </c>
      <c r="G25" s="82">
        <f t="shared" si="4"/>
        <v>272767.6402044791</v>
      </c>
      <c r="H25" s="82">
        <f t="shared" si="4"/>
        <v>500555.02629783947</v>
      </c>
      <c r="I25" s="82">
        <f t="shared" si="4"/>
        <v>479052.85805159161</v>
      </c>
      <c r="J25" s="82">
        <f t="shared" si="4"/>
        <v>455367.60670358699</v>
      </c>
      <c r="K25" s="82">
        <f t="shared" si="4"/>
        <v>438754.98122795066</v>
      </c>
      <c r="L25" s="82">
        <f t="shared" si="4"/>
        <v>422742.71570014727</v>
      </c>
      <c r="M25" s="82">
        <f t="shared" si="4"/>
        <v>731081.06046017038</v>
      </c>
    </row>
    <row r="26" spans="2:13">
      <c r="B26" s="104" t="s">
        <v>252</v>
      </c>
      <c r="C26" s="82">
        <f>C25</f>
        <v>-3186802.2099999995</v>
      </c>
      <c r="D26" s="82">
        <f t="shared" ref="D26:M26" si="5">C26+D25</f>
        <v>-3181762.4570371783</v>
      </c>
      <c r="E26" s="82">
        <f t="shared" si="5"/>
        <v>-3198870.7943624794</v>
      </c>
      <c r="F26" s="82">
        <f t="shared" si="5"/>
        <v>-3066594.8650813503</v>
      </c>
      <c r="G26" s="82">
        <f t="shared" si="5"/>
        <v>-2793827.2248768713</v>
      </c>
      <c r="H26" s="82">
        <f t="shared" si="5"/>
        <v>-2293272.198579032</v>
      </c>
      <c r="I26" s="82">
        <f t="shared" si="5"/>
        <v>-1814219.3405274404</v>
      </c>
      <c r="J26" s="82">
        <f t="shared" si="5"/>
        <v>-1358851.7338238535</v>
      </c>
      <c r="K26" s="82">
        <f t="shared" si="5"/>
        <v>-920096.75259590289</v>
      </c>
      <c r="L26" s="82">
        <f t="shared" si="5"/>
        <v>-497354.03689575562</v>
      </c>
      <c r="M26" s="82">
        <f t="shared" si="5"/>
        <v>233727.02356441476</v>
      </c>
    </row>
    <row r="28" spans="2:13">
      <c r="B28" s="67" t="s">
        <v>253</v>
      </c>
      <c r="C28" s="105">
        <f>Kredit!C4</f>
        <v>3.7499999999999999E-2</v>
      </c>
    </row>
    <row r="31" spans="2:13">
      <c r="B31" s="251" t="s">
        <v>254</v>
      </c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3"/>
    </row>
    <row r="32" spans="2:13">
      <c r="B32" s="254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55"/>
    </row>
    <row r="33" spans="2:13">
      <c r="B33" s="281" t="s">
        <v>206</v>
      </c>
      <c r="C33" s="175">
        <v>2024</v>
      </c>
      <c r="D33" s="176">
        <v>2025</v>
      </c>
      <c r="E33" s="176">
        <v>2026</v>
      </c>
      <c r="F33" s="176">
        <v>2027</v>
      </c>
      <c r="G33" s="176">
        <v>2028</v>
      </c>
      <c r="H33" s="176">
        <v>2029</v>
      </c>
      <c r="I33" s="176">
        <v>2030</v>
      </c>
      <c r="J33" s="176">
        <v>2031</v>
      </c>
      <c r="K33" s="176">
        <v>2032</v>
      </c>
      <c r="L33" s="176">
        <v>2033</v>
      </c>
      <c r="M33" s="176">
        <v>2034</v>
      </c>
    </row>
    <row r="34" spans="2:13">
      <c r="B34" s="250"/>
      <c r="C34" s="177">
        <v>0</v>
      </c>
      <c r="D34" s="168">
        <v>1</v>
      </c>
      <c r="E34" s="168">
        <v>2</v>
      </c>
      <c r="F34" s="168">
        <v>3</v>
      </c>
      <c r="G34" s="168">
        <v>4</v>
      </c>
      <c r="H34" s="168">
        <v>5</v>
      </c>
      <c r="I34" s="168">
        <v>6</v>
      </c>
      <c r="J34" s="168">
        <v>7</v>
      </c>
      <c r="K34" s="168">
        <v>8</v>
      </c>
      <c r="L34" s="168">
        <v>9</v>
      </c>
      <c r="M34" s="168">
        <v>10</v>
      </c>
    </row>
    <row r="35" spans="2:13">
      <c r="B35" s="178" t="s">
        <v>237</v>
      </c>
      <c r="C35" s="170">
        <f t="shared" ref="C35:M35" si="6">SUM(C36:C37,C40)</f>
        <v>3186802.2099999995</v>
      </c>
      <c r="D35" s="170">
        <f t="shared" si="6"/>
        <v>1226880</v>
      </c>
      <c r="E35" s="170">
        <f t="shared" si="6"/>
        <v>1226880</v>
      </c>
      <c r="F35" s="170">
        <f t="shared" si="6"/>
        <v>1524096</v>
      </c>
      <c r="G35" s="170">
        <f t="shared" si="6"/>
        <v>1814400</v>
      </c>
      <c r="H35" s="170">
        <f t="shared" si="6"/>
        <v>2410560</v>
      </c>
      <c r="I35" s="170">
        <f t="shared" si="6"/>
        <v>2712960</v>
      </c>
      <c r="J35" s="170">
        <f t="shared" si="6"/>
        <v>2712960</v>
      </c>
      <c r="K35" s="170">
        <f t="shared" si="6"/>
        <v>2712960</v>
      </c>
      <c r="L35" s="170">
        <f t="shared" si="6"/>
        <v>2712960</v>
      </c>
      <c r="M35" s="170">
        <f t="shared" si="6"/>
        <v>3180824.6953690946</v>
      </c>
    </row>
    <row r="36" spans="2:13">
      <c r="B36" s="171" t="s">
        <v>238</v>
      </c>
      <c r="C36" s="172"/>
      <c r="D36" s="172">
        <f t="shared" ref="D36:M36" si="7">D7</f>
        <v>1226880</v>
      </c>
      <c r="E36" s="172">
        <f t="shared" si="7"/>
        <v>1226880</v>
      </c>
      <c r="F36" s="172">
        <f t="shared" si="7"/>
        <v>1524096</v>
      </c>
      <c r="G36" s="172">
        <f t="shared" si="7"/>
        <v>1814400</v>
      </c>
      <c r="H36" s="172">
        <f t="shared" si="7"/>
        <v>2410560</v>
      </c>
      <c r="I36" s="172">
        <f t="shared" si="7"/>
        <v>2712960</v>
      </c>
      <c r="J36" s="172">
        <f t="shared" si="7"/>
        <v>2712960</v>
      </c>
      <c r="K36" s="172">
        <f t="shared" si="7"/>
        <v>2712960</v>
      </c>
      <c r="L36" s="172">
        <f t="shared" si="7"/>
        <v>2712960</v>
      </c>
      <c r="M36" s="172">
        <f t="shared" si="7"/>
        <v>2712960</v>
      </c>
    </row>
    <row r="37" spans="2:13">
      <c r="B37" s="171" t="s">
        <v>255</v>
      </c>
      <c r="C37" s="172">
        <f>SUM(C38:C39)</f>
        <v>3186802.2099999995</v>
      </c>
      <c r="D37" s="172"/>
      <c r="E37" s="172"/>
      <c r="F37" s="172"/>
      <c r="G37" s="172"/>
      <c r="H37" s="172"/>
      <c r="I37" s="172"/>
      <c r="J37" s="172"/>
      <c r="K37" s="172"/>
      <c r="L37" s="172"/>
      <c r="M37" s="172"/>
    </row>
    <row r="38" spans="2:13">
      <c r="B38" s="173" t="s">
        <v>256</v>
      </c>
      <c r="C38" s="174">
        <f>'In + Am'!E12</f>
        <v>2686802.2099999995</v>
      </c>
      <c r="D38" s="172"/>
      <c r="E38" s="172"/>
      <c r="F38" s="172"/>
      <c r="G38" s="172"/>
      <c r="H38" s="172"/>
      <c r="I38" s="172"/>
      <c r="J38" s="172"/>
      <c r="K38" s="172"/>
      <c r="L38" s="172"/>
      <c r="M38" s="172"/>
    </row>
    <row r="39" spans="2:13">
      <c r="B39" s="173" t="s">
        <v>257</v>
      </c>
      <c r="C39" s="174">
        <f>'In + Am'!F12</f>
        <v>500000</v>
      </c>
      <c r="D39" s="172"/>
      <c r="E39" s="172"/>
      <c r="F39" s="172"/>
      <c r="G39" s="172"/>
      <c r="H39" s="172"/>
      <c r="I39" s="172"/>
      <c r="J39" s="172"/>
      <c r="K39" s="172"/>
      <c r="L39" s="172"/>
      <c r="M39" s="172"/>
    </row>
    <row r="40" spans="2:13">
      <c r="B40" s="171" t="s">
        <v>258</v>
      </c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>
        <f>SUM(M41:M42)</f>
        <v>467864.69536909484</v>
      </c>
    </row>
    <row r="41" spans="2:13">
      <c r="B41" s="173" t="s">
        <v>259</v>
      </c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4">
        <f t="shared" ref="M41:M42" si="8">M9</f>
        <v>468512.00499999977</v>
      </c>
    </row>
    <row r="42" spans="2:13">
      <c r="B42" s="171" t="s">
        <v>260</v>
      </c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>
        <f t="shared" si="8"/>
        <v>-647.30963090492878</v>
      </c>
    </row>
    <row r="43" spans="2:13">
      <c r="B43" s="169" t="s">
        <v>242</v>
      </c>
      <c r="C43" s="170">
        <f t="shared" ref="C43:M43" si="9">SUM(C44:C49)</f>
        <v>3186802.2099999995</v>
      </c>
      <c r="D43" s="170">
        <f t="shared" si="9"/>
        <v>1281688.0022192658</v>
      </c>
      <c r="E43" s="170">
        <f t="shared" si="9"/>
        <v>1305332.2671422551</v>
      </c>
      <c r="F43" s="170">
        <f t="shared" si="9"/>
        <v>1436410.7600278237</v>
      </c>
      <c r="G43" s="170">
        <f t="shared" si="9"/>
        <v>1558394.4063860471</v>
      </c>
      <c r="H43" s="170">
        <f t="shared" si="9"/>
        <v>1868879.6461119412</v>
      </c>
      <c r="I43" s="170">
        <f t="shared" si="9"/>
        <v>2175532.2978481469</v>
      </c>
      <c r="J43" s="170">
        <f t="shared" si="9"/>
        <v>2183774.8585903803</v>
      </c>
      <c r="K43" s="170">
        <f t="shared" si="9"/>
        <v>2183981.0021666517</v>
      </c>
      <c r="L43" s="170">
        <f t="shared" si="9"/>
        <v>2184195.0103868111</v>
      </c>
      <c r="M43" s="170">
        <f t="shared" si="9"/>
        <v>2184417.1832971885</v>
      </c>
    </row>
    <row r="44" spans="2:13">
      <c r="B44" s="173" t="s">
        <v>261</v>
      </c>
      <c r="C44" s="174">
        <f t="shared" ref="C44:C45" si="10">C12</f>
        <v>3186802.2099999995</v>
      </c>
      <c r="D44" s="172"/>
      <c r="E44" s="172"/>
      <c r="F44" s="172"/>
      <c r="G44" s="172"/>
      <c r="H44" s="172"/>
      <c r="I44" s="172"/>
      <c r="J44" s="172"/>
      <c r="K44" s="172"/>
      <c r="L44" s="172"/>
      <c r="M44" s="172"/>
    </row>
    <row r="45" spans="2:13">
      <c r="B45" s="171" t="s">
        <v>262</v>
      </c>
      <c r="C45" s="172">
        <f t="shared" si="10"/>
        <v>0</v>
      </c>
      <c r="D45" s="172">
        <f t="shared" ref="D45:M45" si="11">D13</f>
        <v>-23510.723298926867</v>
      </c>
      <c r="E45" s="172">
        <f t="shared" si="11"/>
        <v>133.54162406251999</v>
      </c>
      <c r="F45" s="172">
        <f t="shared" si="11"/>
        <v>8888.0773096311896</v>
      </c>
      <c r="G45" s="172">
        <f t="shared" si="11"/>
        <v>8547.766467854628</v>
      </c>
      <c r="H45" s="172">
        <f t="shared" si="11"/>
        <v>12584.66254344194</v>
      </c>
      <c r="I45" s="172">
        <f t="shared" si="11"/>
        <v>-7904.3875372937473</v>
      </c>
      <c r="J45" s="172">
        <f t="shared" si="11"/>
        <v>144.93137354531791</v>
      </c>
      <c r="K45" s="172">
        <f t="shared" si="11"/>
        <v>150.46069277866627</v>
      </c>
      <c r="L45" s="172">
        <f t="shared" si="11"/>
        <v>156.20096268781344</v>
      </c>
      <c r="M45" s="172">
        <f t="shared" si="11"/>
        <v>162.16023131360998</v>
      </c>
    </row>
    <row r="46" spans="2:13">
      <c r="B46" s="171" t="s">
        <v>263</v>
      </c>
      <c r="C46" s="172"/>
      <c r="D46" s="172">
        <f t="shared" ref="D46:M46" si="12">D14</f>
        <v>877226.55359999998</v>
      </c>
      <c r="E46" s="172">
        <f t="shared" si="12"/>
        <v>877226.55359999998</v>
      </c>
      <c r="F46" s="172">
        <f t="shared" si="12"/>
        <v>950708.02560000005</v>
      </c>
      <c r="G46" s="172">
        <f t="shared" si="12"/>
        <v>1024189.4975999999</v>
      </c>
      <c r="H46" s="172">
        <f t="shared" si="12"/>
        <v>1171152.4416</v>
      </c>
      <c r="I46" s="172">
        <f t="shared" si="12"/>
        <v>1451993.9136000001</v>
      </c>
      <c r="J46" s="172">
        <f t="shared" si="12"/>
        <v>1451993.9136000001</v>
      </c>
      <c r="K46" s="172">
        <f t="shared" si="12"/>
        <v>1451993.9136000001</v>
      </c>
      <c r="L46" s="172">
        <f t="shared" si="12"/>
        <v>1451993.9136000001</v>
      </c>
      <c r="M46" s="172">
        <f t="shared" si="12"/>
        <v>1451993.9136000001</v>
      </c>
    </row>
    <row r="47" spans="2:13">
      <c r="B47" s="171" t="s">
        <v>264</v>
      </c>
      <c r="C47" s="172"/>
      <c r="D47" s="172">
        <f t="shared" ref="D47:M47" si="13">D15</f>
        <v>367935.42599999998</v>
      </c>
      <c r="E47" s="172">
        <f t="shared" si="13"/>
        <v>367935.42599999998</v>
      </c>
      <c r="F47" s="172">
        <f t="shared" si="13"/>
        <v>416777.91119999997</v>
      </c>
      <c r="G47" s="172">
        <f t="shared" si="13"/>
        <v>465620.39639999997</v>
      </c>
      <c r="H47" s="172">
        <f t="shared" si="13"/>
        <v>563305.36679999996</v>
      </c>
      <c r="I47" s="172">
        <f t="shared" si="13"/>
        <v>612147.85199999996</v>
      </c>
      <c r="J47" s="172">
        <f t="shared" si="13"/>
        <v>612147.85199999996</v>
      </c>
      <c r="K47" s="172">
        <f t="shared" si="13"/>
        <v>612147.85199999996</v>
      </c>
      <c r="L47" s="172">
        <f t="shared" si="13"/>
        <v>612147.85199999996</v>
      </c>
      <c r="M47" s="172">
        <f t="shared" si="13"/>
        <v>612147.85199999996</v>
      </c>
    </row>
    <row r="48" spans="2:13">
      <c r="B48" s="171" t="s">
        <v>265</v>
      </c>
      <c r="C48" s="172"/>
      <c r="D48" s="172">
        <f t="shared" ref="D48:M48" si="14">D16</f>
        <v>0</v>
      </c>
      <c r="E48" s="172">
        <f t="shared" si="14"/>
        <v>0</v>
      </c>
      <c r="F48" s="172">
        <f t="shared" si="14"/>
        <v>0</v>
      </c>
      <c r="G48" s="172">
        <f t="shared" si="14"/>
        <v>0</v>
      </c>
      <c r="H48" s="172">
        <f t="shared" si="14"/>
        <v>61800.429250306777</v>
      </c>
      <c r="I48" s="172">
        <f t="shared" si="14"/>
        <v>59258.173867248443</v>
      </c>
      <c r="J48" s="172">
        <f t="shared" si="14"/>
        <v>59451.415698642159</v>
      </c>
      <c r="K48" s="172">
        <f t="shared" si="14"/>
        <v>59652.029955680402</v>
      </c>
      <c r="L48" s="172">
        <f t="shared" si="14"/>
        <v>59860.297905930813</v>
      </c>
      <c r="M48" s="172">
        <f t="shared" si="14"/>
        <v>60076.511547682298</v>
      </c>
    </row>
    <row r="49" spans="2:13">
      <c r="B49" s="171" t="s">
        <v>266</v>
      </c>
      <c r="C49" s="172"/>
      <c r="D49" s="172">
        <f>Kredit!C13</f>
        <v>60036.745918192595</v>
      </c>
      <c r="E49" s="172">
        <f>Kredit!D13</f>
        <v>60036.745918192595</v>
      </c>
      <c r="F49" s="172">
        <f>Kredit!E13</f>
        <v>60036.745918192595</v>
      </c>
      <c r="G49" s="172">
        <f>Kredit!F13</f>
        <v>60036.745918192595</v>
      </c>
      <c r="H49" s="172">
        <f>Kredit!G13</f>
        <v>60036.745918192602</v>
      </c>
      <c r="I49" s="172">
        <f>Kredit!H13</f>
        <v>60036.745918192602</v>
      </c>
      <c r="J49" s="172">
        <f>Kredit!I13</f>
        <v>60036.745918192602</v>
      </c>
      <c r="K49" s="172">
        <f>Kredit!J13</f>
        <v>60036.745918192595</v>
      </c>
      <c r="L49" s="172">
        <f>Kredit!K13</f>
        <v>60036.745918192602</v>
      </c>
      <c r="M49" s="172">
        <f>Kredit!L13</f>
        <v>60036.745918192595</v>
      </c>
    </row>
    <row r="50" spans="2:13">
      <c r="B50" s="169" t="s">
        <v>248</v>
      </c>
      <c r="C50" s="170">
        <f t="shared" ref="C50:M50" si="15">C35-C43</f>
        <v>0</v>
      </c>
      <c r="D50" s="170">
        <f t="shared" si="15"/>
        <v>-54808.002219265793</v>
      </c>
      <c r="E50" s="170">
        <f t="shared" si="15"/>
        <v>-78452.267142255092</v>
      </c>
      <c r="F50" s="170">
        <f t="shared" si="15"/>
        <v>87685.239972176263</v>
      </c>
      <c r="G50" s="170">
        <f t="shared" si="15"/>
        <v>256005.59361395286</v>
      </c>
      <c r="H50" s="170">
        <f t="shared" si="15"/>
        <v>541680.3538880588</v>
      </c>
      <c r="I50" s="170">
        <f t="shared" si="15"/>
        <v>537427.70215185313</v>
      </c>
      <c r="J50" s="170">
        <f t="shared" si="15"/>
        <v>529185.14140961971</v>
      </c>
      <c r="K50" s="170">
        <f t="shared" si="15"/>
        <v>528978.99783334835</v>
      </c>
      <c r="L50" s="170">
        <f t="shared" si="15"/>
        <v>528764.9896131889</v>
      </c>
      <c r="M50" s="170">
        <f t="shared" si="15"/>
        <v>996407.51207190612</v>
      </c>
    </row>
    <row r="51" spans="2:13">
      <c r="B51" s="64" t="s">
        <v>249</v>
      </c>
      <c r="C51" s="85">
        <v>0</v>
      </c>
      <c r="D51" s="85">
        <f t="shared" ref="D51:M51" si="16">D50+C51</f>
        <v>-54808.002219265793</v>
      </c>
      <c r="E51" s="85">
        <f t="shared" si="16"/>
        <v>-133260.26936152088</v>
      </c>
      <c r="F51" s="85">
        <f t="shared" si="16"/>
        <v>-45575.029389344621</v>
      </c>
      <c r="G51" s="85">
        <f t="shared" si="16"/>
        <v>210430.56422460824</v>
      </c>
      <c r="H51" s="85">
        <f t="shared" si="16"/>
        <v>752110.91811266704</v>
      </c>
      <c r="I51" s="85">
        <f t="shared" si="16"/>
        <v>1289538.6202645202</v>
      </c>
      <c r="J51" s="85">
        <f t="shared" si="16"/>
        <v>1818723.7616741399</v>
      </c>
      <c r="K51" s="85">
        <f t="shared" si="16"/>
        <v>2347702.7595074885</v>
      </c>
      <c r="L51" s="85">
        <f t="shared" si="16"/>
        <v>2876467.7491206774</v>
      </c>
      <c r="M51" s="85">
        <f t="shared" si="16"/>
        <v>3872875.2611925835</v>
      </c>
    </row>
  </sheetData>
  <mergeCells count="6">
    <mergeCell ref="B2:M3"/>
    <mergeCell ref="B4:B5"/>
    <mergeCell ref="B21:M22"/>
    <mergeCell ref="B23:B24"/>
    <mergeCell ref="B33:B34"/>
    <mergeCell ref="B31:M3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O38"/>
  <sheetViews>
    <sheetView workbookViewId="0"/>
  </sheetViews>
  <sheetFormatPr defaultColWidth="14.42578125" defaultRowHeight="15" customHeight="1"/>
  <cols>
    <col min="2" max="2" width="45.140625" customWidth="1"/>
  </cols>
  <sheetData>
    <row r="2" spans="2:13">
      <c r="B2" s="251" t="s">
        <v>267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3"/>
    </row>
    <row r="3" spans="2:13">
      <c r="B3" s="259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1"/>
    </row>
    <row r="4" spans="2:13">
      <c r="B4" s="280" t="s">
        <v>206</v>
      </c>
      <c r="C4" s="123">
        <v>2024</v>
      </c>
      <c r="D4" s="123">
        <v>2025</v>
      </c>
      <c r="E4" s="123">
        <v>2026</v>
      </c>
      <c r="F4" s="123">
        <v>2027</v>
      </c>
      <c r="G4" s="123">
        <v>2028</v>
      </c>
      <c r="H4" s="123">
        <v>2029</v>
      </c>
      <c r="I4" s="123">
        <v>2030</v>
      </c>
      <c r="J4" s="123">
        <v>2031</v>
      </c>
      <c r="K4" s="123">
        <v>2032</v>
      </c>
      <c r="L4" s="123">
        <v>2033</v>
      </c>
      <c r="M4" s="123">
        <v>2034</v>
      </c>
    </row>
    <row r="5" spans="2:13">
      <c r="B5" s="250"/>
      <c r="C5" s="168">
        <v>0</v>
      </c>
      <c r="D5" s="168">
        <v>1</v>
      </c>
      <c r="E5" s="168">
        <v>2</v>
      </c>
      <c r="F5" s="168">
        <v>3</v>
      </c>
      <c r="G5" s="168">
        <v>4</v>
      </c>
      <c r="H5" s="168">
        <v>5</v>
      </c>
      <c r="I5" s="168">
        <v>6</v>
      </c>
      <c r="J5" s="168">
        <v>7</v>
      </c>
      <c r="K5" s="168">
        <v>8</v>
      </c>
      <c r="L5" s="168">
        <v>9</v>
      </c>
      <c r="M5" s="168">
        <v>10</v>
      </c>
    </row>
    <row r="6" spans="2:13">
      <c r="B6" s="178" t="s">
        <v>237</v>
      </c>
      <c r="C6" s="170">
        <f t="shared" ref="C6:M6" si="0">C8+C10</f>
        <v>0</v>
      </c>
      <c r="D6" s="170">
        <f t="shared" si="0"/>
        <v>1226880</v>
      </c>
      <c r="E6" s="170">
        <f t="shared" si="0"/>
        <v>1226880</v>
      </c>
      <c r="F6" s="170">
        <f t="shared" si="0"/>
        <v>1524096</v>
      </c>
      <c r="G6" s="170">
        <f t="shared" si="0"/>
        <v>1814400</v>
      </c>
      <c r="H6" s="170">
        <f t="shared" si="0"/>
        <v>2410560</v>
      </c>
      <c r="I6" s="170">
        <f t="shared" si="0"/>
        <v>2712960</v>
      </c>
      <c r="J6" s="170">
        <f t="shared" si="0"/>
        <v>2712960</v>
      </c>
      <c r="K6" s="170">
        <f t="shared" si="0"/>
        <v>2712960</v>
      </c>
      <c r="L6" s="170">
        <f t="shared" si="0"/>
        <v>2712960</v>
      </c>
      <c r="M6" s="170">
        <f t="shared" si="0"/>
        <v>3180824.6953690946</v>
      </c>
    </row>
    <row r="7" spans="2:13">
      <c r="B7" s="169" t="s">
        <v>268</v>
      </c>
      <c r="C7" s="170">
        <f t="shared" ref="C7:M7" si="1">SUM(C9:C10)</f>
        <v>0</v>
      </c>
      <c r="D7" s="170">
        <f t="shared" si="1"/>
        <v>1165536</v>
      </c>
      <c r="E7" s="170">
        <f t="shared" si="1"/>
        <v>1165536</v>
      </c>
      <c r="F7" s="170">
        <f t="shared" si="1"/>
        <v>1447891.2</v>
      </c>
      <c r="G7" s="170">
        <f t="shared" si="1"/>
        <v>1723680</v>
      </c>
      <c r="H7" s="170">
        <f t="shared" si="1"/>
        <v>2290032</v>
      </c>
      <c r="I7" s="170">
        <f t="shared" si="1"/>
        <v>2577312</v>
      </c>
      <c r="J7" s="170">
        <f t="shared" si="1"/>
        <v>2577312</v>
      </c>
      <c r="K7" s="170">
        <f t="shared" si="1"/>
        <v>2577312</v>
      </c>
      <c r="L7" s="170">
        <f t="shared" si="1"/>
        <v>2577312</v>
      </c>
      <c r="M7" s="170">
        <f t="shared" si="1"/>
        <v>3045176.6953690946</v>
      </c>
    </row>
    <row r="8" spans="2:13">
      <c r="B8" s="171" t="s">
        <v>269</v>
      </c>
      <c r="C8" s="172"/>
      <c r="D8" s="172">
        <f>'EK + FK'!D7</f>
        <v>1226880</v>
      </c>
      <c r="E8" s="172">
        <f>'EK + FK'!E7</f>
        <v>1226880</v>
      </c>
      <c r="F8" s="172">
        <f>'EK + FK'!F7</f>
        <v>1524096</v>
      </c>
      <c r="G8" s="172">
        <f>'EK + FK'!G7</f>
        <v>1814400</v>
      </c>
      <c r="H8" s="172">
        <f>'EK + FK'!H7</f>
        <v>2410560</v>
      </c>
      <c r="I8" s="172">
        <f>'EK + FK'!I7</f>
        <v>2712960</v>
      </c>
      <c r="J8" s="172">
        <f>'EK + FK'!J7</f>
        <v>2712960</v>
      </c>
      <c r="K8" s="172">
        <f>'EK + FK'!K7</f>
        <v>2712960</v>
      </c>
      <c r="L8" s="172">
        <f>'EK + FK'!L7</f>
        <v>2712960</v>
      </c>
      <c r="M8" s="172">
        <f>'EK + FK'!M7</f>
        <v>2712960</v>
      </c>
    </row>
    <row r="9" spans="2:13">
      <c r="B9" s="171" t="s">
        <v>270</v>
      </c>
      <c r="C9" s="172"/>
      <c r="D9" s="172">
        <f>'EK + FK'!D7-('EK + FK'!D7*5%)</f>
        <v>1165536</v>
      </c>
      <c r="E9" s="172">
        <f>'EK + FK'!E7-('EK + FK'!E7*5%)</f>
        <v>1165536</v>
      </c>
      <c r="F9" s="172">
        <f>'EK + FK'!F7-('EK + FK'!F7*5%)</f>
        <v>1447891.2</v>
      </c>
      <c r="G9" s="172">
        <f>'EK + FK'!G7-('EK + FK'!G7*5%)</f>
        <v>1723680</v>
      </c>
      <c r="H9" s="172">
        <f>'EK + FK'!H7-('EK + FK'!H7*5%)</f>
        <v>2290032</v>
      </c>
      <c r="I9" s="172">
        <f>'EK + FK'!I7-('EK + FK'!I7*5%)</f>
        <v>2577312</v>
      </c>
      <c r="J9" s="172">
        <f>'EK + FK'!J7-('EK + FK'!J7*5%)</f>
        <v>2577312</v>
      </c>
      <c r="K9" s="172">
        <f>'EK + FK'!K7-('EK + FK'!K7*5%)</f>
        <v>2577312</v>
      </c>
      <c r="L9" s="172">
        <f>'EK + FK'!L7-('EK + FK'!L7*5%)</f>
        <v>2577312</v>
      </c>
      <c r="M9" s="172">
        <f>'EK + FK'!M7-('EK + FK'!M7*5%)</f>
        <v>2577312</v>
      </c>
    </row>
    <row r="10" spans="2:13">
      <c r="B10" s="171" t="s">
        <v>239</v>
      </c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>
        <f>SUM(M11:M12)</f>
        <v>467864.69536909484</v>
      </c>
    </row>
    <row r="11" spans="2:13">
      <c r="B11" s="173" t="s">
        <v>240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>
        <f>'EK + FK'!M9</f>
        <v>468512.00499999977</v>
      </c>
    </row>
    <row r="12" spans="2:13">
      <c r="B12" s="171" t="s">
        <v>241</v>
      </c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>
        <f>'EK + FK'!M10</f>
        <v>-647.30963090492878</v>
      </c>
    </row>
    <row r="13" spans="2:13">
      <c r="B13" s="169" t="s">
        <v>242</v>
      </c>
      <c r="C13" s="170">
        <f t="shared" ref="C13:M13" si="2">SUM(C15:C17,C19:C20)</f>
        <v>3186802.2099999995</v>
      </c>
      <c r="D13" s="170">
        <f t="shared" si="2"/>
        <v>1221651.2563010731</v>
      </c>
      <c r="E13" s="170">
        <f t="shared" si="2"/>
        <v>1245295.5212240624</v>
      </c>
      <c r="F13" s="170">
        <f t="shared" si="2"/>
        <v>1376374.0141096311</v>
      </c>
      <c r="G13" s="170">
        <f t="shared" si="2"/>
        <v>1498357.6604678545</v>
      </c>
      <c r="H13" s="170">
        <f t="shared" si="2"/>
        <v>1808842.9001937485</v>
      </c>
      <c r="I13" s="170">
        <f t="shared" si="2"/>
        <v>2115495.5519299544</v>
      </c>
      <c r="J13" s="170">
        <f t="shared" si="2"/>
        <v>2123738.1126721879</v>
      </c>
      <c r="K13" s="170">
        <f t="shared" si="2"/>
        <v>2123944.2562484592</v>
      </c>
      <c r="L13" s="170">
        <f t="shared" si="2"/>
        <v>2124158.2644686187</v>
      </c>
      <c r="M13" s="170">
        <f t="shared" si="2"/>
        <v>2124380.4373789961</v>
      </c>
    </row>
    <row r="14" spans="2:13">
      <c r="B14" s="169" t="s">
        <v>271</v>
      </c>
      <c r="C14" s="170">
        <f t="shared" ref="C14:M14" si="3">SUM(C15:C16,C18:C20)</f>
        <v>3186802.2099999995</v>
      </c>
      <c r="D14" s="170">
        <f t="shared" si="3"/>
        <v>1265512.583981073</v>
      </c>
      <c r="E14" s="170">
        <f t="shared" si="3"/>
        <v>1289156.8489040625</v>
      </c>
      <c r="F14" s="170">
        <f t="shared" si="3"/>
        <v>1423909.4153896312</v>
      </c>
      <c r="G14" s="170">
        <f t="shared" si="3"/>
        <v>1549567.1353478546</v>
      </c>
      <c r="H14" s="170">
        <f t="shared" si="3"/>
        <v>1867400.5222737486</v>
      </c>
      <c r="I14" s="170">
        <f t="shared" si="3"/>
        <v>2188095.2476099548</v>
      </c>
      <c r="J14" s="170">
        <f t="shared" si="3"/>
        <v>2196337.8083521877</v>
      </c>
      <c r="K14" s="170">
        <f t="shared" si="3"/>
        <v>2196543.9519284591</v>
      </c>
      <c r="L14" s="170">
        <f t="shared" si="3"/>
        <v>2196757.9601486186</v>
      </c>
      <c r="M14" s="170">
        <f t="shared" si="3"/>
        <v>2196980.1330589959</v>
      </c>
    </row>
    <row r="15" spans="2:13">
      <c r="B15" s="173" t="s">
        <v>243</v>
      </c>
      <c r="C15" s="174">
        <f>'EK + FK'!C12</f>
        <v>3186802.2099999995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</row>
    <row r="16" spans="2:13">
      <c r="B16" s="171" t="s">
        <v>244</v>
      </c>
      <c r="C16" s="172">
        <v>0</v>
      </c>
      <c r="D16" s="172">
        <f>'EK + FK'!D13</f>
        <v>-23510.723298926867</v>
      </c>
      <c r="E16" s="172">
        <f>'EK + FK'!E13</f>
        <v>133.54162406251999</v>
      </c>
      <c r="F16" s="172">
        <f>'EK + FK'!F13</f>
        <v>8888.0773096311896</v>
      </c>
      <c r="G16" s="172">
        <f>'EK + FK'!G13</f>
        <v>8547.766467854628</v>
      </c>
      <c r="H16" s="172">
        <f>'EK + FK'!H13</f>
        <v>12584.66254344194</v>
      </c>
      <c r="I16" s="172">
        <f>'EK + FK'!I13</f>
        <v>-7904.3875372937473</v>
      </c>
      <c r="J16" s="172">
        <f>'EK + FK'!J13</f>
        <v>144.93137354531791</v>
      </c>
      <c r="K16" s="172">
        <f>'EK + FK'!K13</f>
        <v>150.46069277866627</v>
      </c>
      <c r="L16" s="172">
        <f>'EK + FK'!L13</f>
        <v>156.20096268781344</v>
      </c>
      <c r="M16" s="172">
        <f>'EK + FK'!M13</f>
        <v>162.16023131360998</v>
      </c>
    </row>
    <row r="17" spans="2:15">
      <c r="B17" s="171" t="s">
        <v>245</v>
      </c>
      <c r="C17" s="172"/>
      <c r="D17" s="172">
        <f>'EK + FK'!D14</f>
        <v>877226.55359999998</v>
      </c>
      <c r="E17" s="172">
        <f>'EK + FK'!E14</f>
        <v>877226.55359999998</v>
      </c>
      <c r="F17" s="172">
        <f>'EK + FK'!F14</f>
        <v>950708.02560000005</v>
      </c>
      <c r="G17" s="172">
        <f>'EK + FK'!G14</f>
        <v>1024189.4975999999</v>
      </c>
      <c r="H17" s="172">
        <f>'EK + FK'!H14</f>
        <v>1171152.4416</v>
      </c>
      <c r="I17" s="172">
        <f>'EK + FK'!I14</f>
        <v>1451993.9136000001</v>
      </c>
      <c r="J17" s="172">
        <f>'EK + FK'!J14</f>
        <v>1451993.9136000001</v>
      </c>
      <c r="K17" s="172">
        <f>'EK + FK'!K14</f>
        <v>1451993.9136000001</v>
      </c>
      <c r="L17" s="172">
        <f>'EK + FK'!L14</f>
        <v>1451993.9136000001</v>
      </c>
      <c r="M17" s="172">
        <f>'EK + FK'!M14</f>
        <v>1451993.9136000001</v>
      </c>
    </row>
    <row r="18" spans="2:15">
      <c r="B18" s="171" t="s">
        <v>272</v>
      </c>
      <c r="C18" s="172"/>
      <c r="D18" s="172">
        <f>'EK + FK'!D14+('EK + FK'!D14*5%)</f>
        <v>921087.88127999997</v>
      </c>
      <c r="E18" s="172">
        <f>'EK + FK'!E14+('EK + FK'!E14*5%)</f>
        <v>921087.88127999997</v>
      </c>
      <c r="F18" s="172">
        <f>'EK + FK'!F14+('EK + FK'!F14*5%)</f>
        <v>998243.42688000004</v>
      </c>
      <c r="G18" s="172">
        <f>'EK + FK'!G14+('EK + FK'!G14*5%)</f>
        <v>1075398.97248</v>
      </c>
      <c r="H18" s="172">
        <f>'EK + FK'!H14+('EK + FK'!H14*5%)</f>
        <v>1229710.0636800001</v>
      </c>
      <c r="I18" s="172">
        <f>'EK + FK'!I14+('EK + FK'!I14*5%)</f>
        <v>1524593.60928</v>
      </c>
      <c r="J18" s="172">
        <f>'EK + FK'!J14+('EK + FK'!J14*5%)</f>
        <v>1524593.60928</v>
      </c>
      <c r="K18" s="172">
        <f>'EK + FK'!K14+('EK + FK'!K14*5%)</f>
        <v>1524593.60928</v>
      </c>
      <c r="L18" s="172">
        <f>'EK + FK'!L14+('EK + FK'!L14*5%)</f>
        <v>1524593.60928</v>
      </c>
      <c r="M18" s="172">
        <f>'EK + FK'!M14+('EK + FK'!M14*5%)</f>
        <v>1524593.60928</v>
      </c>
    </row>
    <row r="19" spans="2:15">
      <c r="B19" s="171" t="s">
        <v>246</v>
      </c>
      <c r="C19" s="172"/>
      <c r="D19" s="172">
        <f>'EK + FK'!D15</f>
        <v>367935.42599999998</v>
      </c>
      <c r="E19" s="172">
        <f>'EK + FK'!E15</f>
        <v>367935.42599999998</v>
      </c>
      <c r="F19" s="172">
        <f>'EK + FK'!F15</f>
        <v>416777.91119999997</v>
      </c>
      <c r="G19" s="172">
        <f>'EK + FK'!G15</f>
        <v>465620.39639999997</v>
      </c>
      <c r="H19" s="172">
        <f>'EK + FK'!H15</f>
        <v>563305.36679999996</v>
      </c>
      <c r="I19" s="172">
        <f>'EK + FK'!I15</f>
        <v>612147.85199999996</v>
      </c>
      <c r="J19" s="172">
        <f>'EK + FK'!J15</f>
        <v>612147.85199999996</v>
      </c>
      <c r="K19" s="172">
        <f>'EK + FK'!K15</f>
        <v>612147.85199999996</v>
      </c>
      <c r="L19" s="172">
        <f>'EK + FK'!L15</f>
        <v>612147.85199999996</v>
      </c>
      <c r="M19" s="172">
        <f>'EK + FK'!M15</f>
        <v>612147.85199999996</v>
      </c>
    </row>
    <row r="20" spans="2:15">
      <c r="B20" s="171" t="s">
        <v>247</v>
      </c>
      <c r="C20" s="172"/>
      <c r="D20" s="172">
        <f>'EK + FK'!D16</f>
        <v>0</v>
      </c>
      <c r="E20" s="172">
        <f>'EK + FK'!E16</f>
        <v>0</v>
      </c>
      <c r="F20" s="172">
        <f>'EK + FK'!F16</f>
        <v>0</v>
      </c>
      <c r="G20" s="172">
        <f>'EK + FK'!G16</f>
        <v>0</v>
      </c>
      <c r="H20" s="172">
        <f>'EK + FK'!H16</f>
        <v>61800.429250306777</v>
      </c>
      <c r="I20" s="172">
        <f>'EK + FK'!I16</f>
        <v>59258.173867248443</v>
      </c>
      <c r="J20" s="172">
        <f>'EK + FK'!J16</f>
        <v>59451.415698642159</v>
      </c>
      <c r="K20" s="172">
        <f>'EK + FK'!K16</f>
        <v>59652.029955680402</v>
      </c>
      <c r="L20" s="172">
        <f>'EK + FK'!L16</f>
        <v>59860.297905930813</v>
      </c>
      <c r="M20" s="172">
        <f>'EK + FK'!M16</f>
        <v>60076.511547682298</v>
      </c>
    </row>
    <row r="21" spans="2:15">
      <c r="B21" s="169" t="s">
        <v>273</v>
      </c>
      <c r="C21" s="170">
        <f t="shared" ref="C21:M21" si="4">C7-C13</f>
        <v>-3186802.2099999995</v>
      </c>
      <c r="D21" s="170">
        <f t="shared" si="4"/>
        <v>-56115.256301073125</v>
      </c>
      <c r="E21" s="170">
        <f t="shared" si="4"/>
        <v>-79759.521224062424</v>
      </c>
      <c r="F21" s="170">
        <f t="shared" si="4"/>
        <v>71517.185890368884</v>
      </c>
      <c r="G21" s="170">
        <f t="shared" si="4"/>
        <v>225322.33953214553</v>
      </c>
      <c r="H21" s="170">
        <f t="shared" si="4"/>
        <v>481189.09980625147</v>
      </c>
      <c r="I21" s="170">
        <f t="shared" si="4"/>
        <v>461816.44807004556</v>
      </c>
      <c r="J21" s="170">
        <f t="shared" si="4"/>
        <v>453573.88732781215</v>
      </c>
      <c r="K21" s="170">
        <f t="shared" si="4"/>
        <v>453367.74375154078</v>
      </c>
      <c r="L21" s="170">
        <f t="shared" si="4"/>
        <v>453153.73553138133</v>
      </c>
      <c r="M21" s="170">
        <f t="shared" si="4"/>
        <v>920796.25799009856</v>
      </c>
    </row>
    <row r="22" spans="2:15">
      <c r="B22" s="64" t="s">
        <v>274</v>
      </c>
      <c r="C22" s="85">
        <f>C21</f>
        <v>-3186802.2099999995</v>
      </c>
      <c r="D22" s="85">
        <f t="shared" ref="D22:M22" si="5">C22+D21</f>
        <v>-3242917.4663010724</v>
      </c>
      <c r="E22" s="85">
        <f t="shared" si="5"/>
        <v>-3322676.9875251348</v>
      </c>
      <c r="F22" s="85">
        <f t="shared" si="5"/>
        <v>-3251159.8016347662</v>
      </c>
      <c r="G22" s="85">
        <f t="shared" si="5"/>
        <v>-3025837.4621026209</v>
      </c>
      <c r="H22" s="85">
        <f t="shared" si="5"/>
        <v>-2544648.3622963694</v>
      </c>
      <c r="I22" s="85">
        <f t="shared" si="5"/>
        <v>-2082831.9142263238</v>
      </c>
      <c r="J22" s="85">
        <f t="shared" si="5"/>
        <v>-1629258.0268985117</v>
      </c>
      <c r="K22" s="85">
        <f t="shared" si="5"/>
        <v>-1175890.2831469709</v>
      </c>
      <c r="L22" s="85">
        <f t="shared" si="5"/>
        <v>-722736.54761558957</v>
      </c>
      <c r="M22" s="85">
        <f t="shared" si="5"/>
        <v>198059.71037450898</v>
      </c>
    </row>
    <row r="23" spans="2:15">
      <c r="B23" s="282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9"/>
    </row>
    <row r="24" spans="2:15">
      <c r="B24" s="169" t="s">
        <v>275</v>
      </c>
      <c r="C24" s="179">
        <f t="shared" ref="C24:M24" si="6">C6-C14</f>
        <v>-3186802.2099999995</v>
      </c>
      <c r="D24" s="179">
        <f t="shared" si="6"/>
        <v>-38632.583981072996</v>
      </c>
      <c r="E24" s="179">
        <f t="shared" si="6"/>
        <v>-62276.848904062528</v>
      </c>
      <c r="F24" s="179">
        <f t="shared" si="6"/>
        <v>100186.58461036882</v>
      </c>
      <c r="G24" s="179">
        <f t="shared" si="6"/>
        <v>264832.86465214542</v>
      </c>
      <c r="H24" s="179">
        <f t="shared" si="6"/>
        <v>543159.47772625135</v>
      </c>
      <c r="I24" s="179">
        <f t="shared" si="6"/>
        <v>524864.75239004521</v>
      </c>
      <c r="J24" s="179">
        <f t="shared" si="6"/>
        <v>516622.19164781226</v>
      </c>
      <c r="K24" s="179">
        <f t="shared" si="6"/>
        <v>516416.04807154089</v>
      </c>
      <c r="L24" s="179">
        <f t="shared" si="6"/>
        <v>516202.03985138144</v>
      </c>
      <c r="M24" s="179">
        <f t="shared" si="6"/>
        <v>983844.56231009867</v>
      </c>
    </row>
    <row r="25" spans="2:15">
      <c r="B25" s="64" t="s">
        <v>276</v>
      </c>
      <c r="C25" s="85">
        <f>C24</f>
        <v>-3186802.2099999995</v>
      </c>
      <c r="D25" s="85">
        <f t="shared" ref="D25:M25" si="7">C25+D24</f>
        <v>-3225434.7939810725</v>
      </c>
      <c r="E25" s="85">
        <f t="shared" si="7"/>
        <v>-3287711.642885135</v>
      </c>
      <c r="F25" s="85">
        <f t="shared" si="7"/>
        <v>-3187525.0582747664</v>
      </c>
      <c r="G25" s="85">
        <f t="shared" si="7"/>
        <v>-2922692.1936226208</v>
      </c>
      <c r="H25" s="85">
        <f t="shared" si="7"/>
        <v>-2379532.7158963694</v>
      </c>
      <c r="I25" s="85">
        <f t="shared" si="7"/>
        <v>-1854667.9635063242</v>
      </c>
      <c r="J25" s="85">
        <f t="shared" si="7"/>
        <v>-1338045.771858512</v>
      </c>
      <c r="K25" s="85">
        <f t="shared" si="7"/>
        <v>-821629.72378697107</v>
      </c>
      <c r="L25" s="85">
        <f t="shared" si="7"/>
        <v>-305427.68393558962</v>
      </c>
      <c r="M25" s="85">
        <f t="shared" si="7"/>
        <v>678416.87837450905</v>
      </c>
    </row>
    <row r="28" spans="2:15">
      <c r="B28" s="251" t="s">
        <v>277</v>
      </c>
      <c r="C28" s="252"/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3"/>
    </row>
    <row r="29" spans="2:15">
      <c r="B29" s="254"/>
      <c r="C29" s="228"/>
      <c r="D29" s="228"/>
      <c r="E29" s="228"/>
      <c r="F29" s="228"/>
      <c r="G29" s="228"/>
      <c r="H29" s="228"/>
      <c r="I29" s="228"/>
      <c r="J29" s="228"/>
      <c r="K29" s="228"/>
      <c r="L29" s="228"/>
      <c r="M29" s="228"/>
      <c r="N29" s="228"/>
      <c r="O29" s="255"/>
    </row>
    <row r="30" spans="2:15">
      <c r="B30" s="280" t="s">
        <v>107</v>
      </c>
      <c r="C30" s="123">
        <v>2024</v>
      </c>
      <c r="D30" s="123">
        <v>2025</v>
      </c>
      <c r="E30" s="123">
        <v>2026</v>
      </c>
      <c r="F30" s="123">
        <v>2027</v>
      </c>
      <c r="G30" s="123">
        <v>2028</v>
      </c>
      <c r="H30" s="123">
        <v>2029</v>
      </c>
      <c r="I30" s="123">
        <v>2030</v>
      </c>
      <c r="J30" s="123">
        <v>2031</v>
      </c>
      <c r="K30" s="123">
        <v>2032</v>
      </c>
      <c r="L30" s="123">
        <v>2033</v>
      </c>
      <c r="M30" s="180">
        <v>2034</v>
      </c>
      <c r="N30" s="181">
        <v>2035</v>
      </c>
      <c r="O30" s="182">
        <v>2036</v>
      </c>
    </row>
    <row r="31" spans="2:15">
      <c r="B31" s="250"/>
      <c r="C31" s="168">
        <v>0</v>
      </c>
      <c r="D31" s="168">
        <v>1</v>
      </c>
      <c r="E31" s="168">
        <v>2</v>
      </c>
      <c r="F31" s="168">
        <v>3</v>
      </c>
      <c r="G31" s="168">
        <v>4</v>
      </c>
      <c r="H31" s="168">
        <v>5</v>
      </c>
      <c r="I31" s="168">
        <v>6</v>
      </c>
      <c r="J31" s="168">
        <v>7</v>
      </c>
      <c r="K31" s="168">
        <v>8</v>
      </c>
      <c r="L31" s="168">
        <v>9</v>
      </c>
      <c r="M31" s="183">
        <v>10</v>
      </c>
      <c r="N31" s="184">
        <v>11</v>
      </c>
      <c r="O31" s="185">
        <v>12</v>
      </c>
    </row>
    <row r="32" spans="2:15">
      <c r="B32" s="104" t="s">
        <v>278</v>
      </c>
      <c r="C32" s="82">
        <f t="shared" ref="C32:M32" si="8">C21*1/(1+$C$38)^C31</f>
        <v>-3186802.2099999995</v>
      </c>
      <c r="D32" s="82">
        <f t="shared" si="8"/>
        <v>-54086.99402513072</v>
      </c>
      <c r="E32" s="82">
        <f t="shared" si="8"/>
        <v>-74097.972976339006</v>
      </c>
      <c r="F32" s="82">
        <f t="shared" si="8"/>
        <v>64039.229950783876</v>
      </c>
      <c r="G32" s="82">
        <f t="shared" si="8"/>
        <v>194469.64900500118</v>
      </c>
      <c r="H32" s="82">
        <f t="shared" si="8"/>
        <v>400290.47302346502</v>
      </c>
      <c r="I32" s="82">
        <f t="shared" si="8"/>
        <v>370288.96038556035</v>
      </c>
      <c r="J32" s="82">
        <f t="shared" si="8"/>
        <v>350534.9342544002</v>
      </c>
      <c r="K32" s="82">
        <f t="shared" si="8"/>
        <v>337711.44151789113</v>
      </c>
      <c r="L32" s="82">
        <f t="shared" si="8"/>
        <v>325351.35212418629</v>
      </c>
      <c r="M32" s="186">
        <f t="shared" si="8"/>
        <v>637209.86665201525</v>
      </c>
      <c r="N32" s="187">
        <f t="shared" ref="N32:O32" si="9">M32</f>
        <v>637209.86665201525</v>
      </c>
      <c r="O32" s="188">
        <f t="shared" si="9"/>
        <v>637209.86665201525</v>
      </c>
    </row>
    <row r="33" spans="2:15">
      <c r="B33" s="104" t="s">
        <v>279</v>
      </c>
      <c r="C33" s="82">
        <f>C32</f>
        <v>-3186802.2099999995</v>
      </c>
      <c r="D33" s="82">
        <f t="shared" ref="D33:O33" si="10">C33+D32</f>
        <v>-3240889.2040251303</v>
      </c>
      <c r="E33" s="82">
        <f t="shared" si="10"/>
        <v>-3314987.1770014693</v>
      </c>
      <c r="F33" s="82">
        <f t="shared" si="10"/>
        <v>-3250947.9470506855</v>
      </c>
      <c r="G33" s="82">
        <f t="shared" si="10"/>
        <v>-3056478.2980456846</v>
      </c>
      <c r="H33" s="82">
        <f t="shared" si="10"/>
        <v>-2656187.8250222197</v>
      </c>
      <c r="I33" s="82">
        <f t="shared" si="10"/>
        <v>-2285898.8646366592</v>
      </c>
      <c r="J33" s="82">
        <f t="shared" si="10"/>
        <v>-1935363.930382259</v>
      </c>
      <c r="K33" s="82">
        <f t="shared" si="10"/>
        <v>-1597652.4888643678</v>
      </c>
      <c r="L33" s="82">
        <f t="shared" si="10"/>
        <v>-1272301.1367401816</v>
      </c>
      <c r="M33" s="186">
        <f t="shared" si="10"/>
        <v>-635091.27008816635</v>
      </c>
      <c r="N33" s="187">
        <f t="shared" si="10"/>
        <v>2118.5965638488997</v>
      </c>
      <c r="O33" s="188">
        <f t="shared" si="10"/>
        <v>639328.46321586415</v>
      </c>
    </row>
    <row r="34" spans="2:15">
      <c r="B34" s="283"/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2"/>
      <c r="N34" s="284"/>
      <c r="O34" s="285"/>
    </row>
    <row r="35" spans="2:15">
      <c r="B35" s="104" t="s">
        <v>280</v>
      </c>
      <c r="C35" s="82">
        <f t="shared" ref="C35:M35" si="11">C24*1/(1+$C$38)^C31</f>
        <v>-3186802.2099999995</v>
      </c>
      <c r="D35" s="82">
        <f t="shared" si="11"/>
        <v>-37236.225523925779</v>
      </c>
      <c r="E35" s="82">
        <f t="shared" si="11"/>
        <v>-57856.26839686458</v>
      </c>
      <c r="F35" s="82">
        <f t="shared" si="11"/>
        <v>89710.908643443836</v>
      </c>
      <c r="G35" s="82">
        <f t="shared" si="11"/>
        <v>228570.12021457462</v>
      </c>
      <c r="H35" s="82">
        <f t="shared" si="11"/>
        <v>451842.24736961653</v>
      </c>
      <c r="I35" s="82">
        <f t="shared" si="11"/>
        <v>420841.70955309132</v>
      </c>
      <c r="J35" s="82">
        <f t="shared" si="11"/>
        <v>399260.47562069551</v>
      </c>
      <c r="K35" s="82">
        <f t="shared" si="11"/>
        <v>384675.81873841671</v>
      </c>
      <c r="L35" s="82">
        <f t="shared" si="11"/>
        <v>370618.2217343314</v>
      </c>
      <c r="M35" s="186">
        <f t="shared" si="11"/>
        <v>680840.58434854064</v>
      </c>
      <c r="N35" s="187">
        <f t="shared" ref="N35:O35" si="12">M35</f>
        <v>680840.58434854064</v>
      </c>
      <c r="O35" s="188">
        <f t="shared" si="12"/>
        <v>680840.58434854064</v>
      </c>
    </row>
    <row r="36" spans="2:15">
      <c r="B36" s="104" t="s">
        <v>281</v>
      </c>
      <c r="C36" s="82">
        <f>C35</f>
        <v>-3186802.2099999995</v>
      </c>
      <c r="D36" s="82">
        <f t="shared" ref="D36:O36" si="13">C36+D35</f>
        <v>-3224038.4355239253</v>
      </c>
      <c r="E36" s="82">
        <f t="shared" si="13"/>
        <v>-3281894.70392079</v>
      </c>
      <c r="F36" s="82">
        <f t="shared" si="13"/>
        <v>-3192183.7952773459</v>
      </c>
      <c r="G36" s="82">
        <f t="shared" si="13"/>
        <v>-2963613.6750627714</v>
      </c>
      <c r="H36" s="82">
        <f t="shared" si="13"/>
        <v>-2511771.4276931547</v>
      </c>
      <c r="I36" s="82">
        <f t="shared" si="13"/>
        <v>-2090929.7181400633</v>
      </c>
      <c r="J36" s="82">
        <f t="shared" si="13"/>
        <v>-1691669.242519368</v>
      </c>
      <c r="K36" s="82">
        <f t="shared" si="13"/>
        <v>-1306993.4237809512</v>
      </c>
      <c r="L36" s="82">
        <f t="shared" si="13"/>
        <v>-936375.20204661973</v>
      </c>
      <c r="M36" s="186">
        <f t="shared" si="13"/>
        <v>-255534.61769807909</v>
      </c>
      <c r="N36" s="189">
        <f t="shared" si="13"/>
        <v>425305.96665046155</v>
      </c>
      <c r="O36" s="190">
        <f t="shared" si="13"/>
        <v>1106146.5509990021</v>
      </c>
    </row>
    <row r="37" spans="2:15"/>
    <row r="38" spans="2:15">
      <c r="B38" s="67" t="s">
        <v>253</v>
      </c>
      <c r="C38" s="105">
        <f>Kredit!C4</f>
        <v>3.7499999999999999E-2</v>
      </c>
    </row>
  </sheetData>
  <mergeCells count="7">
    <mergeCell ref="B34:M34"/>
    <mergeCell ref="N34:O34"/>
    <mergeCell ref="B30:B31"/>
    <mergeCell ref="B28:O29"/>
    <mergeCell ref="B23:M23"/>
    <mergeCell ref="B4:B5"/>
    <mergeCell ref="B2:M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Q975"/>
  <sheetViews>
    <sheetView tabSelected="1" workbookViewId="0">
      <selection activeCell="L28" sqref="L28"/>
    </sheetView>
  </sheetViews>
  <sheetFormatPr defaultColWidth="14.42578125" defaultRowHeight="15" customHeight="1"/>
  <cols>
    <col min="2" max="2" width="22.85546875" customWidth="1"/>
    <col min="3" max="3" width="15.140625" customWidth="1"/>
    <col min="4" max="4" width="22.5703125" customWidth="1"/>
    <col min="5" max="5" width="15.140625" customWidth="1"/>
    <col min="6" max="6" width="17.7109375" customWidth="1"/>
  </cols>
  <sheetData>
    <row r="1" spans="2:8"/>
    <row r="2" spans="2:8">
      <c r="B2" s="251" t="s">
        <v>282</v>
      </c>
      <c r="C2" s="252"/>
      <c r="D2" s="252"/>
      <c r="E2" s="252"/>
      <c r="F2" s="252"/>
      <c r="G2" s="252"/>
      <c r="H2" s="253"/>
    </row>
    <row r="3" spans="2:8">
      <c r="B3" s="254"/>
      <c r="C3" s="228"/>
      <c r="D3" s="228"/>
      <c r="E3" s="228"/>
      <c r="F3" s="228"/>
      <c r="G3" s="228"/>
      <c r="H3" s="255"/>
    </row>
    <row r="4" spans="2:8">
      <c r="B4" s="241" t="s">
        <v>283</v>
      </c>
      <c r="C4" s="232"/>
      <c r="D4" s="232"/>
      <c r="E4" s="232"/>
      <c r="F4" s="232"/>
      <c r="G4" s="232"/>
      <c r="H4" s="233"/>
    </row>
    <row r="5" spans="2:8">
      <c r="B5" s="191"/>
      <c r="C5" s="192"/>
      <c r="D5" s="192"/>
      <c r="E5" s="192"/>
      <c r="F5" s="192"/>
      <c r="G5" s="192"/>
      <c r="H5" s="193"/>
    </row>
    <row r="6" spans="2:8">
      <c r="B6" s="289" t="s">
        <v>284</v>
      </c>
      <c r="C6" s="296" t="str">
        <f>"="</f>
        <v>=</v>
      </c>
      <c r="D6" s="194" t="s">
        <v>207</v>
      </c>
      <c r="E6" s="296" t="str">
        <f>"="</f>
        <v>=</v>
      </c>
      <c r="F6" s="195">
        <f>RDG!H5</f>
        <v>2712960</v>
      </c>
      <c r="G6" s="296" t="str">
        <f>"="</f>
        <v>=</v>
      </c>
      <c r="H6" s="297">
        <f>F6/F7</f>
        <v>1.2794698236066069</v>
      </c>
    </row>
    <row r="7" spans="2:8">
      <c r="B7" s="223"/>
      <c r="C7" s="291"/>
      <c r="D7" s="196" t="s">
        <v>215</v>
      </c>
      <c r="E7" s="291"/>
      <c r="F7" s="197">
        <f>RDG!H15</f>
        <v>2120378.2613275154</v>
      </c>
      <c r="G7" s="291"/>
      <c r="H7" s="298"/>
    </row>
    <row r="8" spans="2:8">
      <c r="B8" s="198"/>
      <c r="C8" s="199"/>
      <c r="D8" s="200"/>
      <c r="E8" s="199"/>
      <c r="F8" s="199"/>
      <c r="G8" s="199"/>
      <c r="H8" s="201"/>
    </row>
    <row r="9" spans="2:8">
      <c r="B9" s="241" t="s">
        <v>285</v>
      </c>
      <c r="C9" s="232"/>
      <c r="D9" s="232"/>
      <c r="E9" s="232"/>
      <c r="F9" s="232"/>
      <c r="G9" s="232"/>
      <c r="H9" s="233"/>
    </row>
    <row r="10" spans="2:8">
      <c r="B10" s="191"/>
      <c r="C10" s="192"/>
      <c r="D10" s="192"/>
      <c r="E10" s="192"/>
      <c r="F10" s="192"/>
      <c r="G10" s="192"/>
      <c r="H10" s="193"/>
    </row>
    <row r="11" spans="2:8">
      <c r="B11" s="299" t="s">
        <v>286</v>
      </c>
      <c r="C11" s="296" t="str">
        <f>"="</f>
        <v>=</v>
      </c>
      <c r="D11" s="202" t="s">
        <v>287</v>
      </c>
      <c r="E11" s="296" t="str">
        <f>"="</f>
        <v>=</v>
      </c>
      <c r="F11" s="195">
        <f>RDG!H18</f>
        <v>533323.56480523595</v>
      </c>
      <c r="G11" s="296" t="str">
        <f>"="</f>
        <v>=</v>
      </c>
      <c r="H11" s="301">
        <f>F11/F12</f>
        <v>0.19658364472946005</v>
      </c>
    </row>
    <row r="12" spans="2:8">
      <c r="B12" s="300"/>
      <c r="C12" s="291"/>
      <c r="D12" s="203" t="s">
        <v>207</v>
      </c>
      <c r="E12" s="291"/>
      <c r="F12" s="197">
        <f>RDG!H5</f>
        <v>2712960</v>
      </c>
      <c r="G12" s="291"/>
      <c r="H12" s="298"/>
    </row>
    <row r="13" spans="2:8">
      <c r="B13" s="204"/>
      <c r="C13" s="205"/>
      <c r="D13" s="205"/>
      <c r="E13" s="205"/>
      <c r="F13" s="205"/>
      <c r="G13" s="205"/>
      <c r="H13" s="206"/>
    </row>
    <row r="14" spans="2:8">
      <c r="B14" s="248" t="s">
        <v>288</v>
      </c>
      <c r="C14" s="232"/>
      <c r="D14" s="232"/>
      <c r="E14" s="232"/>
      <c r="F14" s="232"/>
      <c r="G14" s="232"/>
      <c r="H14" s="233"/>
    </row>
    <row r="15" spans="2:8">
      <c r="B15" s="204"/>
      <c r="C15" s="205"/>
      <c r="D15" s="205"/>
      <c r="E15" s="205"/>
      <c r="F15" s="205"/>
      <c r="G15" s="205"/>
      <c r="H15" s="206"/>
    </row>
    <row r="16" spans="2:8">
      <c r="B16" s="302" t="s">
        <v>289</v>
      </c>
      <c r="C16" s="296" t="str">
        <f>"="</f>
        <v>=</v>
      </c>
      <c r="D16" s="202" t="s">
        <v>287</v>
      </c>
      <c r="E16" s="296" t="str">
        <f>"="</f>
        <v>=</v>
      </c>
      <c r="F16" s="195">
        <f>RDG!H18</f>
        <v>533323.56480523595</v>
      </c>
      <c r="G16" s="296" t="str">
        <f>"="</f>
        <v>=</v>
      </c>
      <c r="H16" s="297">
        <f>F16/F17</f>
        <v>0.16735383298395418</v>
      </c>
    </row>
    <row r="17" spans="2:8">
      <c r="B17" s="300"/>
      <c r="C17" s="291"/>
      <c r="D17" s="203" t="s">
        <v>290</v>
      </c>
      <c r="E17" s="291"/>
      <c r="F17" s="197">
        <f>'In + Am'!D12</f>
        <v>3186802.2099999995</v>
      </c>
      <c r="G17" s="291"/>
      <c r="H17" s="298"/>
    </row>
    <row r="18" spans="2:8">
      <c r="B18" s="204"/>
      <c r="C18" s="205"/>
      <c r="D18" s="203"/>
      <c r="E18" s="205"/>
      <c r="F18" s="203"/>
      <c r="G18" s="205"/>
      <c r="H18" s="206"/>
    </row>
    <row r="19" spans="2:8">
      <c r="B19" s="302" t="s">
        <v>291</v>
      </c>
      <c r="C19" s="296" t="str">
        <f>"="</f>
        <v>=</v>
      </c>
      <c r="D19" s="202" t="s">
        <v>207</v>
      </c>
      <c r="E19" s="296" t="str">
        <f>"="</f>
        <v>=</v>
      </c>
      <c r="F19" s="195">
        <f>RDG!H5</f>
        <v>2712960</v>
      </c>
      <c r="G19" s="296" t="str">
        <f>"="</f>
        <v>=</v>
      </c>
      <c r="H19" s="297">
        <f>F19/F20</f>
        <v>0.85131107022798269</v>
      </c>
    </row>
    <row r="20" spans="2:8">
      <c r="B20" s="300"/>
      <c r="C20" s="291"/>
      <c r="D20" s="203" t="s">
        <v>290</v>
      </c>
      <c r="E20" s="291"/>
      <c r="F20" s="197">
        <f>'In + Am'!D12</f>
        <v>3186802.2099999995</v>
      </c>
      <c r="G20" s="291"/>
      <c r="H20" s="298"/>
    </row>
    <row r="21" spans="2:8">
      <c r="B21" s="204"/>
      <c r="C21" s="205"/>
      <c r="D21" s="203"/>
      <c r="E21" s="205"/>
      <c r="F21" s="203"/>
      <c r="G21" s="205"/>
      <c r="H21" s="206"/>
    </row>
    <row r="22" spans="2:8">
      <c r="B22" s="302" t="s">
        <v>292</v>
      </c>
      <c r="C22" s="296" t="str">
        <f>"="</f>
        <v>=</v>
      </c>
      <c r="D22" s="202" t="s">
        <v>293</v>
      </c>
      <c r="E22" s="296" t="str">
        <f>"="</f>
        <v>=</v>
      </c>
      <c r="F22" s="195">
        <f>RDG!H18+RDG!H13</f>
        <v>580174.76530523598</v>
      </c>
      <c r="G22" s="296" t="str">
        <f>"="</f>
        <v>=</v>
      </c>
      <c r="H22" s="301">
        <f>F22/F23</f>
        <v>0.18205546722814531</v>
      </c>
    </row>
    <row r="23" spans="2:8">
      <c r="B23" s="300"/>
      <c r="C23" s="291"/>
      <c r="D23" s="203" t="s">
        <v>290</v>
      </c>
      <c r="E23" s="291"/>
      <c r="F23" s="197">
        <f>'In + Am'!D12</f>
        <v>3186802.2099999995</v>
      </c>
      <c r="G23" s="291"/>
      <c r="H23" s="298"/>
    </row>
    <row r="24" spans="2:8">
      <c r="B24" s="204"/>
      <c r="C24" s="205"/>
      <c r="D24" s="205"/>
      <c r="E24" s="205"/>
      <c r="F24" s="205"/>
      <c r="G24" s="205"/>
      <c r="H24" s="206"/>
    </row>
    <row r="25" spans="2:8">
      <c r="B25" s="241" t="s">
        <v>294</v>
      </c>
      <c r="C25" s="232"/>
      <c r="D25" s="232"/>
      <c r="E25" s="232"/>
      <c r="F25" s="232"/>
      <c r="G25" s="232"/>
      <c r="H25" s="233"/>
    </row>
    <row r="26" spans="2:8">
      <c r="B26" s="204"/>
      <c r="C26" s="205"/>
      <c r="D26" s="205"/>
      <c r="E26" s="205"/>
      <c r="F26" s="205"/>
      <c r="G26" s="205"/>
      <c r="H26" s="206"/>
    </row>
    <row r="27" spans="2:8">
      <c r="B27" s="302" t="s">
        <v>295</v>
      </c>
      <c r="C27" s="296" t="str">
        <f>"="</f>
        <v>=</v>
      </c>
      <c r="D27" s="202" t="s">
        <v>290</v>
      </c>
      <c r="E27" s="296" t="str">
        <f>"="</f>
        <v>=</v>
      </c>
      <c r="F27" s="195">
        <f>'In + Am'!D12</f>
        <v>3186802.2099999995</v>
      </c>
      <c r="G27" s="296" t="str">
        <f>"="</f>
        <v>=</v>
      </c>
      <c r="H27" s="303">
        <f>F27/F28</f>
        <v>138556.61782608693</v>
      </c>
    </row>
    <row r="28" spans="2:8">
      <c r="B28" s="300"/>
      <c r="C28" s="291"/>
      <c r="D28" s="203" t="s">
        <v>296</v>
      </c>
      <c r="E28" s="291"/>
      <c r="F28" s="203">
        <f>SUM(Plaće!H20:H21)</f>
        <v>23</v>
      </c>
      <c r="G28" s="291"/>
      <c r="H28" s="298"/>
    </row>
    <row r="29" spans="2:8">
      <c r="B29" s="207"/>
      <c r="C29" s="208"/>
      <c r="D29" s="208"/>
      <c r="E29" s="208"/>
      <c r="F29" s="208"/>
      <c r="G29" s="208"/>
      <c r="H29" s="209"/>
    </row>
    <row r="30" spans="2:8"/>
    <row r="31" spans="2:8"/>
    <row r="32" spans="2:8">
      <c r="B32" s="251" t="s">
        <v>297</v>
      </c>
      <c r="C32" s="252"/>
      <c r="D32" s="252"/>
    </row>
    <row r="33" spans="2:8">
      <c r="B33" s="254"/>
      <c r="C33" s="228"/>
      <c r="D33" s="228"/>
    </row>
    <row r="34" spans="2:8">
      <c r="B34" s="293" t="s">
        <v>298</v>
      </c>
      <c r="C34" s="228"/>
      <c r="D34" s="229"/>
    </row>
    <row r="35" spans="2:8">
      <c r="B35" s="210"/>
      <c r="C35" s="205"/>
      <c r="D35" s="211"/>
    </row>
    <row r="36" spans="2:8">
      <c r="B36" s="289" t="s">
        <v>299</v>
      </c>
      <c r="C36" s="290" t="str">
        <f>"="</f>
        <v>=</v>
      </c>
      <c r="D36" s="286">
        <f>'EK + FK'!K5+(ABS('EK + FK'!K18)/'EK + FK'!L17)</f>
        <v>8.6093825162100721</v>
      </c>
    </row>
    <row r="37" spans="2:8">
      <c r="B37" s="223"/>
      <c r="C37" s="291"/>
      <c r="D37" s="225"/>
    </row>
    <row r="38" spans="2:8">
      <c r="B38" s="207"/>
      <c r="C38" s="212"/>
      <c r="D38" s="209"/>
    </row>
    <row r="39" spans="2:8">
      <c r="B39" s="293" t="s">
        <v>300</v>
      </c>
      <c r="C39" s="228"/>
      <c r="D39" s="229"/>
    </row>
    <row r="40" spans="2:8">
      <c r="B40" s="210"/>
      <c r="C40" s="205"/>
      <c r="D40" s="211"/>
    </row>
    <row r="41" spans="2:8">
      <c r="B41" s="289" t="s">
        <v>301</v>
      </c>
      <c r="C41" s="290" t="str">
        <f>"="</f>
        <v>=</v>
      </c>
      <c r="D41" s="286">
        <f>'EK + FK'!L24+(ABS('EK + FK'!L26)/'EK + FK'!M25)</f>
        <v>9.6802994411901491</v>
      </c>
    </row>
    <row r="42" spans="2:8">
      <c r="B42" s="223"/>
      <c r="C42" s="291"/>
      <c r="D42" s="225"/>
    </row>
    <row r="43" spans="2:8">
      <c r="B43" s="207"/>
      <c r="C43" s="212"/>
      <c r="D43" s="209"/>
    </row>
    <row r="44" spans="2:8">
      <c r="B44" s="293" t="s">
        <v>302</v>
      </c>
      <c r="C44" s="228"/>
      <c r="D44" s="229"/>
      <c r="F44" s="295" t="s">
        <v>303</v>
      </c>
      <c r="G44" s="232"/>
      <c r="H44" s="233"/>
    </row>
    <row r="45" spans="2:8">
      <c r="B45" s="210"/>
      <c r="C45" s="205"/>
      <c r="D45" s="211"/>
      <c r="F45" s="210"/>
      <c r="G45" s="192"/>
      <c r="H45" s="211"/>
    </row>
    <row r="46" spans="2:8">
      <c r="B46" s="289" t="s">
        <v>304</v>
      </c>
      <c r="C46" s="290" t="str">
        <f>"="</f>
        <v>=</v>
      </c>
      <c r="D46" s="294">
        <f t="array" ref="D46">NPV('EK + FK'!C28,'EK + FK'!D17:M17)-ABS('EK + FK'!C17)</f>
        <v>233727.02356441552</v>
      </c>
      <c r="F46" s="289" t="s">
        <v>304</v>
      </c>
      <c r="G46" s="290" t="str">
        <f>"="</f>
        <v>=</v>
      </c>
      <c r="H46" s="294">
        <f>SUM('EK + FK'!D25:M25)+'EK + FK'!C25</f>
        <v>233727.02356441459</v>
      </c>
    </row>
    <row r="47" spans="2:8">
      <c r="B47" s="223"/>
      <c r="C47" s="291"/>
      <c r="D47" s="225"/>
      <c r="F47" s="223"/>
      <c r="G47" s="291"/>
      <c r="H47" s="225"/>
    </row>
    <row r="48" spans="2:8">
      <c r="B48" s="207"/>
      <c r="C48" s="212"/>
      <c r="D48" s="209"/>
      <c r="F48" s="207"/>
      <c r="G48" s="212"/>
      <c r="H48" s="209"/>
    </row>
    <row r="49" spans="2:17">
      <c r="B49" s="293" t="s">
        <v>305</v>
      </c>
      <c r="C49" s="228"/>
      <c r="D49" s="229"/>
    </row>
    <row r="50" spans="2:17">
      <c r="B50" s="210"/>
      <c r="C50" s="205"/>
      <c r="D50" s="211"/>
    </row>
    <row r="51" spans="2:17">
      <c r="B51" s="289" t="s">
        <v>306</v>
      </c>
      <c r="C51" s="290" t="str">
        <f>"="</f>
        <v>=</v>
      </c>
      <c r="D51" s="292">
        <f>IRR('EK + FK'!C17:M17)</f>
        <v>4.7772028022848634E-2</v>
      </c>
      <c r="F51" s="251" t="s">
        <v>307</v>
      </c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3"/>
    </row>
    <row r="52" spans="2:17">
      <c r="B52" s="223"/>
      <c r="C52" s="291"/>
      <c r="D52" s="225"/>
      <c r="F52" s="254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55"/>
    </row>
    <row r="53" spans="2:17">
      <c r="B53" s="207"/>
      <c r="C53" s="212"/>
      <c r="D53" s="209"/>
      <c r="F53" s="280" t="s">
        <v>107</v>
      </c>
      <c r="G53" s="213">
        <v>2024</v>
      </c>
      <c r="H53" s="123">
        <v>2025</v>
      </c>
      <c r="I53" s="123">
        <v>2026</v>
      </c>
      <c r="J53" s="123">
        <v>2027</v>
      </c>
      <c r="K53" s="123">
        <v>2028</v>
      </c>
      <c r="L53" s="123">
        <v>2029</v>
      </c>
      <c r="M53" s="123">
        <v>2030</v>
      </c>
      <c r="N53" s="123">
        <v>2031</v>
      </c>
      <c r="O53" s="123">
        <v>2032</v>
      </c>
      <c r="P53" s="123">
        <v>2033</v>
      </c>
      <c r="Q53" s="123">
        <v>2034</v>
      </c>
    </row>
    <row r="54" spans="2:17">
      <c r="B54" s="293" t="s">
        <v>308</v>
      </c>
      <c r="C54" s="228"/>
      <c r="D54" s="229"/>
      <c r="F54" s="250"/>
      <c r="G54" s="177">
        <v>0</v>
      </c>
      <c r="H54" s="168">
        <v>1</v>
      </c>
      <c r="I54" s="168">
        <v>2</v>
      </c>
      <c r="J54" s="168">
        <v>3</v>
      </c>
      <c r="K54" s="168">
        <v>4</v>
      </c>
      <c r="L54" s="168">
        <v>5</v>
      </c>
      <c r="M54" s="168">
        <v>6</v>
      </c>
      <c r="N54" s="168">
        <v>7</v>
      </c>
      <c r="O54" s="168">
        <v>8</v>
      </c>
      <c r="P54" s="168">
        <v>9</v>
      </c>
      <c r="Q54" s="168">
        <v>10</v>
      </c>
    </row>
    <row r="55" spans="2:17">
      <c r="B55" s="210"/>
      <c r="C55" s="205"/>
      <c r="D55" s="211"/>
      <c r="F55" s="214" t="s">
        <v>251</v>
      </c>
      <c r="G55" s="82">
        <f>'EK + FK'!C17*1/(1+$G$58)^G54</f>
        <v>-3186802.2099999995</v>
      </c>
      <c r="H55" s="82">
        <f>'EK + FK'!D17*1/(1+$G$58)^H54</f>
        <v>4990.3448069648721</v>
      </c>
      <c r="I55" s="82">
        <f>'EK + FK'!E17*1/(1+$G$58)^I54</f>
        <v>-16774.532110056425</v>
      </c>
      <c r="J55" s="82">
        <f>'EK + FK'!F17*1/(1+$G$58)^J54</f>
        <v>128423.56960818043</v>
      </c>
      <c r="K55" s="82">
        <f>'EK + FK'!G17*1/(1+$G$58)^K54</f>
        <v>262227.39929964149</v>
      </c>
      <c r="L55" s="82">
        <f>'EK + FK'!H17*1/(1+$G$58)^L54</f>
        <v>476495.00595777156</v>
      </c>
      <c r="M55" s="82">
        <f>'EK + FK'!I17*1/(1+$G$58)^M54</f>
        <v>451555.6362199384</v>
      </c>
      <c r="N55" s="82">
        <f>'EK + FK'!J17*1/(1+$G$58)^N54</f>
        <v>425021.86275257153</v>
      </c>
      <c r="O55" s="82">
        <f>'EK + FK'!K17*1/(1+$G$58)^O54</f>
        <v>405501.53505686409</v>
      </c>
      <c r="P55" s="82">
        <f>'EK + FK'!L17*1/(1+$G$58)^P54</f>
        <v>386872.51860608777</v>
      </c>
      <c r="Q55" s="82">
        <f>'EK + FK'!M17*1/(1+$G$58)^Q54</f>
        <v>662488.86980203656</v>
      </c>
    </row>
    <row r="56" spans="2:17">
      <c r="B56" s="289" t="s">
        <v>309</v>
      </c>
      <c r="C56" s="290" t="str">
        <f>"="</f>
        <v>=</v>
      </c>
      <c r="D56" s="286">
        <f>SUM('EK + FK'!D25:M25)/ABS('EK + FK'!C25)</f>
        <v>1.0733421807073538</v>
      </c>
      <c r="F56" s="214" t="s">
        <v>252</v>
      </c>
      <c r="G56" s="82">
        <f>G55</f>
        <v>-3186802.2099999995</v>
      </c>
      <c r="H56" s="82">
        <f t="shared" ref="H56:Q56" si="0">G56+H55</f>
        <v>-3181811.8651930345</v>
      </c>
      <c r="I56" s="82">
        <f t="shared" si="0"/>
        <v>-3198586.3973030909</v>
      </c>
      <c r="J56" s="82">
        <f t="shared" si="0"/>
        <v>-3070162.8276949106</v>
      </c>
      <c r="K56" s="82">
        <f t="shared" si="0"/>
        <v>-2807935.428395269</v>
      </c>
      <c r="L56" s="82">
        <f t="shared" si="0"/>
        <v>-2331440.4224374974</v>
      </c>
      <c r="M56" s="82">
        <f t="shared" si="0"/>
        <v>-1879884.7862175591</v>
      </c>
      <c r="N56" s="82">
        <f t="shared" si="0"/>
        <v>-1454862.9234649877</v>
      </c>
      <c r="O56" s="82">
        <f t="shared" si="0"/>
        <v>-1049361.3884081235</v>
      </c>
      <c r="P56" s="82">
        <f t="shared" si="0"/>
        <v>-662488.86980203574</v>
      </c>
      <c r="Q56" s="82">
        <f t="shared" si="0"/>
        <v>0</v>
      </c>
    </row>
    <row r="57" spans="2:17">
      <c r="B57" s="223"/>
      <c r="C57" s="291"/>
      <c r="D57" s="225"/>
    </row>
    <row r="58" spans="2:17">
      <c r="B58" s="207"/>
      <c r="C58" s="212"/>
      <c r="D58" s="209"/>
      <c r="F58" s="67" t="s">
        <v>306</v>
      </c>
      <c r="G58" s="105">
        <f>'Analiza projekta'!D51</f>
        <v>4.7772028022848634E-2</v>
      </c>
    </row>
    <row r="59" spans="2:17"/>
    <row r="60" spans="2:17"/>
    <row r="61" spans="2:17">
      <c r="B61" s="272" t="s">
        <v>310</v>
      </c>
      <c r="C61" s="252"/>
      <c r="D61" s="252"/>
      <c r="E61" s="252"/>
    </row>
    <row r="62" spans="2:17">
      <c r="B62" s="254"/>
      <c r="C62" s="228"/>
      <c r="D62" s="228"/>
      <c r="E62" s="228"/>
    </row>
    <row r="63" spans="2:17">
      <c r="B63" s="287" t="s">
        <v>221</v>
      </c>
      <c r="C63" s="288" t="s">
        <v>311</v>
      </c>
      <c r="D63" s="232"/>
      <c r="E63" s="233"/>
    </row>
    <row r="64" spans="2:17">
      <c r="B64" s="250"/>
      <c r="C64" s="71" t="s">
        <v>312</v>
      </c>
      <c r="D64" s="72" t="s">
        <v>313</v>
      </c>
      <c r="E64" s="71" t="s">
        <v>314</v>
      </c>
    </row>
    <row r="65" spans="2:5">
      <c r="B65" s="67" t="s">
        <v>299</v>
      </c>
      <c r="C65" s="215">
        <f>'EK + FK - osjetljivost'!L5+(ABS('EK + FK - osjetljivost'!L22/'EK + FK - osjetljivost'!M21))</f>
        <v>9.7849038713441008</v>
      </c>
      <c r="D65" s="215">
        <f>D36</f>
        <v>8.6093825162100721</v>
      </c>
      <c r="E65" s="215">
        <f>'EK + FK - osjetljivost'!L5+(ABS('EK + FK - osjetljivost'!L25)/'EK + FK - osjetljivost'!M24)</f>
        <v>9.3104430269131502</v>
      </c>
    </row>
    <row r="66" spans="2:5">
      <c r="B66" s="67" t="s">
        <v>301</v>
      </c>
      <c r="C66" s="216">
        <f>'EK + FK - osjetljivost'!M31+(ABS('EK + FK - osjetljivost'!M33)/'EK + FK - osjetljivost'!N32)</f>
        <v>10.996675198118039</v>
      </c>
      <c r="D66" s="215">
        <f>D41</f>
        <v>9.6802994411901491</v>
      </c>
      <c r="E66" s="217">
        <f>'EK + FK - osjetljivost'!M31+(ABS('EK + FK - osjetljivost'!M36)/'EK + FK - osjetljivost'!N35)</f>
        <v>10.375322246605769</v>
      </c>
    </row>
    <row r="67" spans="2:5">
      <c r="B67" s="67" t="s">
        <v>304</v>
      </c>
      <c r="C67" s="218">
        <f t="array" ref="C67">NPV('EK + FK - osjetljivost'!C38,'EK + FK - osjetljivost'!D21:M21)-ABS('EK + FK - osjetljivost'!C21)</f>
        <v>-635091.27008816507</v>
      </c>
      <c r="D67" s="218">
        <f>D46</f>
        <v>233727.02356441552</v>
      </c>
      <c r="E67" s="218">
        <f t="array" ref="E67">NPV('EK + FK - osjetljivost'!C38,'EK + FK - osjetljivost'!D24:M24)-ABS('EK + FK - osjetljivost'!C24)</f>
        <v>-255534.61769807898</v>
      </c>
    </row>
    <row r="68" spans="2:5">
      <c r="B68" s="67" t="s">
        <v>306</v>
      </c>
      <c r="C68" s="219">
        <f>IRR('EK + FK - osjetljivost'!C21:M21)</f>
        <v>7.842595747917569E-3</v>
      </c>
      <c r="D68" s="219">
        <f>D51</f>
        <v>4.7772028022848634E-2</v>
      </c>
      <c r="E68" s="219">
        <f>IRR('EK + FK - osjetljivost'!C24:M24)</f>
        <v>2.5951950504239818E-2</v>
      </c>
    </row>
    <row r="69" spans="2:5">
      <c r="B69" s="67" t="s">
        <v>309</v>
      </c>
      <c r="C69" s="217">
        <f>SUM('EK + FK - osjetljivost'!D32:M32)/ABS('EK + FK - osjetljivost'!C32)</f>
        <v>0.80071205294910153</v>
      </c>
      <c r="D69" s="215">
        <f>D56</f>
        <v>1.0733421807073538</v>
      </c>
      <c r="E69" s="217">
        <f>SUM('EK + FK - osjetljivost'!D35:M35)/ABS('EK + FK - osjetljivost'!C35)</f>
        <v>0.91981472308001222</v>
      </c>
    </row>
    <row r="70" spans="2:5"/>
    <row r="71" spans="2:5"/>
    <row r="72" spans="2:5"/>
    <row r="73" spans="2:5"/>
    <row r="74" spans="2:5"/>
    <row r="75" spans="2:5"/>
    <row r="76" spans="2:5"/>
    <row r="77" spans="2:5"/>
    <row r="78" spans="2:5"/>
    <row r="79" spans="2:5"/>
    <row r="80" spans="2:5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</sheetData>
  <mergeCells count="65">
    <mergeCell ref="B39:D39"/>
    <mergeCell ref="B32:D33"/>
    <mergeCell ref="B34:D34"/>
    <mergeCell ref="B36:B37"/>
    <mergeCell ref="C36:C37"/>
    <mergeCell ref="D36:D37"/>
    <mergeCell ref="E27:E28"/>
    <mergeCell ref="G27:G28"/>
    <mergeCell ref="B19:B20"/>
    <mergeCell ref="B22:B23"/>
    <mergeCell ref="C22:C23"/>
    <mergeCell ref="E22:E23"/>
    <mergeCell ref="B25:H25"/>
    <mergeCell ref="B27:B28"/>
    <mergeCell ref="H27:H28"/>
    <mergeCell ref="C27:C28"/>
    <mergeCell ref="B14:H14"/>
    <mergeCell ref="G16:G17"/>
    <mergeCell ref="G19:G20"/>
    <mergeCell ref="G22:G23"/>
    <mergeCell ref="H22:H23"/>
    <mergeCell ref="B16:B17"/>
    <mergeCell ref="C16:C17"/>
    <mergeCell ref="E16:E17"/>
    <mergeCell ref="H16:H17"/>
    <mergeCell ref="C19:C20"/>
    <mergeCell ref="E19:E20"/>
    <mergeCell ref="H19:H20"/>
    <mergeCell ref="B9:H9"/>
    <mergeCell ref="B6:B7"/>
    <mergeCell ref="B11:B12"/>
    <mergeCell ref="C11:C12"/>
    <mergeCell ref="E11:E12"/>
    <mergeCell ref="G11:G12"/>
    <mergeCell ref="H11:H12"/>
    <mergeCell ref="B2:H3"/>
    <mergeCell ref="B4:H4"/>
    <mergeCell ref="C6:C7"/>
    <mergeCell ref="E6:E7"/>
    <mergeCell ref="G6:G7"/>
    <mergeCell ref="H6:H7"/>
    <mergeCell ref="F51:Q52"/>
    <mergeCell ref="G46:G47"/>
    <mergeCell ref="F46:F47"/>
    <mergeCell ref="B41:B42"/>
    <mergeCell ref="C41:C42"/>
    <mergeCell ref="D41:D42"/>
    <mergeCell ref="B44:D44"/>
    <mergeCell ref="C46:C47"/>
    <mergeCell ref="B49:D49"/>
    <mergeCell ref="H46:H47"/>
    <mergeCell ref="F44:H44"/>
    <mergeCell ref="B46:B47"/>
    <mergeCell ref="B51:B52"/>
    <mergeCell ref="C51:C52"/>
    <mergeCell ref="D51:D52"/>
    <mergeCell ref="B54:D54"/>
    <mergeCell ref="D46:D47"/>
    <mergeCell ref="D56:D57"/>
    <mergeCell ref="B61:E62"/>
    <mergeCell ref="B63:B64"/>
    <mergeCell ref="C63:E63"/>
    <mergeCell ref="F53:F54"/>
    <mergeCell ref="B56:B57"/>
    <mergeCell ref="C56:C5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Investicija</vt:lpstr>
      <vt:lpstr>In + Am</vt:lpstr>
      <vt:lpstr>Prihodi</vt:lpstr>
      <vt:lpstr>Rashodi</vt:lpstr>
      <vt:lpstr>Plaće</vt:lpstr>
      <vt:lpstr>Kredit</vt:lpstr>
      <vt:lpstr>RDG</vt:lpstr>
      <vt:lpstr>TOBS</vt:lpstr>
      <vt:lpstr>EK + FK</vt:lpstr>
      <vt:lpstr>EK + FK - osjetljivost</vt:lpstr>
      <vt:lpstr>Analiza projekta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Dumić</dc:creator>
  <cp:lastModifiedBy>Antonio Dumić</cp:lastModifiedBy>
  <dcterms:created xsi:type="dcterms:W3CDTF">2015-06-05T18:17:20Z</dcterms:created>
  <dcterms:modified xsi:type="dcterms:W3CDTF">2024-02-02T22:57:19Z</dcterms:modified>
</cp:coreProperties>
</file>